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Manufacturing Summary" sheetId="2" state="visible" r:id="rId4"/>
    <sheet name="G&amp;A &amp; HC Summary" sheetId="3" state="visible" r:id="rId5"/>
    <sheet name="Procurement Summary" sheetId="4" state="visible" r:id="rId6"/>
    <sheet name="Marketing Summary" sheetId="5" state="visible" r:id="rId7"/>
    <sheet name="Technology Summary" sheetId="6" state="visible" r:id="rId8"/>
    <sheet name="Distribution Summary" sheetId="7" state="visible" r:id="rId9"/>
    <sheet name="Public-to-Private Summary" sheetId="8" state="visible" r:id="rId10"/>
    <sheet name="P&amp;L Bridge &amp; Valuation" sheetId="9" state="visible" r:id="rId11"/>
    <sheet name="Initiative Log" sheetId="10" state="visible" r:id="rId12"/>
    <sheet name="HC Detail" sheetId="11" state="visible" r:id="rId13"/>
    <sheet name="Non-HC Detail" sheetId="12" state="visible" r:id="rId14"/>
    <sheet name="README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<sst xmlns="http://schemas.openxmlformats.org/spreadsheetml/2006/main" count="1361" uniqueCount="483">
  <si>
    <t xml:space="preserve">COMPANY A  |  Master Value Creation Dashboard  |  PE Cost Transformation — All Data Live from Detail Tabs</t>
  </si>
  <si>
    <t xml:space="preserve">All KPIs pull automatically from HC Detail + Non-HC Detail tabs  ·  Blue = Input  ·  Green = Cross-sheet formula</t>
  </si>
  <si>
    <t xml:space="preserve">MASTER VALUE CREATION KPIs — live from detail tabs</t>
  </si>
  <si>
    <t xml:space="preserve">Total Gross
Annual Savings ($)</t>
  </si>
  <si>
    <t xml:space="preserve">HC Savings
(SG&amp;A)</t>
  </si>
  <si>
    <t xml:space="preserve">Non-HC Savings
(COGS+SGA+RD)</t>
  </si>
  <si>
    <t xml:space="preserve">Total One-Time
Costs ($)</t>
  </si>
  <si>
    <t xml:space="preserve">Net Annual
Savings ($)</t>
  </si>
  <si>
    <t xml:space="preserve">Year 1
Realized ($)</t>
  </si>
  <si>
    <t xml:space="preserve">Run-Rate
Annual ($)</t>
  </si>
  <si>
    <t xml:space="preserve">Total FTEs
Reduced</t>
  </si>
  <si>
    <t xml:space="preserve">SAVINGS BY WORKSTREAM — SUMIF from HC Detail col T + Non-HC Detail col D</t>
  </si>
  <si>
    <t xml:space="preserve">Workstream</t>
  </si>
  <si>
    <t xml:space="preserve"># HC Inits</t>
  </si>
  <si>
    <t xml:space="preserve"># Non-HC Inits</t>
  </si>
  <si>
    <t xml:space="preserve">HC Savings ($)</t>
  </si>
  <si>
    <t xml:space="preserve">Non-HC Savings ($)</t>
  </si>
  <si>
    <t xml:space="preserve">Total Gross ($)</t>
  </si>
  <si>
    <t xml:space="preserve">One-Time ($)</t>
  </si>
  <si>
    <t xml:space="preserve">Net Savings ($)</t>
  </si>
  <si>
    <t xml:space="preserve">Yr1 Realized ($)</t>
  </si>
  <si>
    <t xml:space="preserve">Manufacturing</t>
  </si>
  <si>
    <t xml:space="preserve">G&amp;A / HC</t>
  </si>
  <si>
    <t xml:space="preserve">Procurement</t>
  </si>
  <si>
    <t xml:space="preserve">Marketing</t>
  </si>
  <si>
    <t xml:space="preserve">Technology</t>
  </si>
  <si>
    <t xml:space="preserve">Distribution</t>
  </si>
  <si>
    <t xml:space="preserve">Public-to-Private</t>
  </si>
  <si>
    <t xml:space="preserve">TOTAL</t>
  </si>
  <si>
    <t xml:space="preserve">SAVINGS BY SEGMENT — SUMPRODUCT from HC Detail + Non-HC Detail</t>
  </si>
  <si>
    <t xml:space="preserve">Segment</t>
  </si>
  <si>
    <t xml:space="preserve">Net ($)</t>
  </si>
  <si>
    <t xml:space="preserve">Yr1 ($)</t>
  </si>
  <si>
    <t xml:space="preserve">Run-Rate ($)</t>
  </si>
  <si>
    <t xml:space="preserve">% of Total</t>
  </si>
  <si>
    <t xml:space="preserve">Dx — Diagnostics</t>
  </si>
  <si>
    <t xml:space="preserve">BH — Breast Health</t>
  </si>
  <si>
    <t xml:space="preserve">GY — GYN Surgical</t>
  </si>
  <si>
    <t xml:space="preserve">100.0%</t>
  </si>
  <si>
    <t xml:space="preserve">3-YEAR SAVINGS RAMP — from detail tabs</t>
  </si>
  <si>
    <t xml:space="preserve">P&amp;L Line</t>
  </si>
  <si>
    <t xml:space="preserve">Year 1 ($)</t>
  </si>
  <si>
    <t xml:space="preserve">Year 2 ($)</t>
  </si>
  <si>
    <t xml:space="preserve">Year 3 Run-Rate ($)</t>
  </si>
  <si>
    <t xml:space="preserve">Cum. Yr1 ($)</t>
  </si>
  <si>
    <t xml:space="preserve">Cum. Yr2 ($)</t>
  </si>
  <si>
    <t xml:space="preserve">Cum. Yr3 ($)</t>
  </si>
  <si>
    <t xml:space="preserve">One-Time Costs ($)</t>
  </si>
  <si>
    <t xml:space="preserve">Payback (Yrs)</t>
  </si>
  <si>
    <t xml:space="preserve">COGS</t>
  </si>
  <si>
    <t xml:space="preserve">SGA</t>
  </si>
  <si>
    <t xml:space="preserve">RD</t>
  </si>
  <si>
    <t xml:space="preserve">COMPANY A  |  Manufacturing  |  Value Creation Summary  —  All data from detail tabs</t>
  </si>
  <si>
    <t xml:space="preserve">KEY METRICS — MANUFACTURING  (formulas pull from HC Detail + Non-HC Detail tabs)</t>
  </si>
  <si>
    <t xml:space="preserve"># Initiatives</t>
  </si>
  <si>
    <t xml:space="preserve">Gross Annual
Savings ($)</t>
  </si>
  <si>
    <t xml:space="preserve">One-Time
Costs ($)</t>
  </si>
  <si>
    <t xml:space="preserve">Run-Rate
(Yr3) ($)</t>
  </si>
  <si>
    <t xml:space="preserve">Upside
Scenario ($)</t>
  </si>
  <si>
    <t xml:space="preserve">INITIATIVE DETAIL — live from Non-HC Detail where Topic = 'Manufacturing'</t>
  </si>
  <si>
    <t xml:space="preserve">Initiative ID</t>
  </si>
  <si>
    <t xml:space="preserve">Initiative Name</t>
  </si>
  <si>
    <t xml:space="preserve">Owner</t>
  </si>
  <si>
    <t xml:space="preserve">Status</t>
  </si>
  <si>
    <t xml:space="preserve">One-Time
Cost ($)</t>
  </si>
  <si>
    <t xml:space="preserve">Baseline
Scenario ($)</t>
  </si>
  <si>
    <t xml:space="preserve">Notes</t>
  </si>
  <si>
    <t xml:space="preserve">I-011</t>
  </si>
  <si>
    <t xml:space="preserve">San Diego Mfg Plant Closure</t>
  </si>
  <si>
    <t xml:space="preserve">Dx</t>
  </si>
  <si>
    <t xml:space="preserve">COO</t>
  </si>
  <si>
    <t xml:space="preserve">Active</t>
  </si>
  <si>
    <t xml:space="preserve">I-012</t>
  </si>
  <si>
    <t xml:space="preserve">Marlborough Facility Consolidation</t>
  </si>
  <si>
    <t xml:space="preserve">BH</t>
  </si>
  <si>
    <t xml:space="preserve">Pipeline</t>
  </si>
  <si>
    <t xml:space="preserve">TOTALS — from Initiative Log</t>
  </si>
  <si>
    <t xml:space="preserve">SCENARIO ANALYSIS — MANUFACTURING  (Upside / Base / Downside)</t>
  </si>
  <si>
    <t xml:space="preserve">Scenario</t>
  </si>
  <si>
    <t xml:space="preserve">Description</t>
  </si>
  <si>
    <t xml:space="preserve">Gross Savings ($)</t>
  </si>
  <si>
    <t xml:space="preserve">vs. Plan ($)</t>
  </si>
  <si>
    <t xml:space="preserve">vs. Plan (%)</t>
  </si>
  <si>
    <t xml:space="preserve">Key Assumptions</t>
  </si>
  <si>
    <t xml:space="preserve">Upside</t>
  </si>
  <si>
    <t xml:space="preserve">Full capture; all Active, above plan</t>
  </si>
  <si>
    <t xml:space="preserve">Full execution; procurement/vendor beats target; no timeline slippage</t>
  </si>
  <si>
    <t xml:space="preserve">Base Plan</t>
  </si>
  <si>
    <t xml:space="preserve">Current plan; Active + Pipeline mix</t>
  </si>
  <si>
    <t xml:space="preserve">Current initiative slate; on-schedule execution; no scope changes</t>
  </si>
  <si>
    <t xml:space="preserve">Downside</t>
  </si>
  <si>
    <t xml:space="preserve">Partial capture; delays, scope cuts</t>
  </si>
  <si>
    <t xml:space="preserve">3-4 initiatives delayed; savings reduced 25%; facility timeline slip</t>
  </si>
  <si>
    <t xml:space="preserve">COMPANY A  |  G&amp;A / HC  |  Value Creation Summary  —  All data from detail tabs</t>
  </si>
  <si>
    <t xml:space="preserve">KEY METRICS — G&amp;A / HC  (formulas pull from HC Detail + Non-HC Detail tabs)</t>
  </si>
  <si>
    <t xml:space="preserve">INITIATIVE DETAIL — live from HC Detail + Non-HC Detail where Topic = 'G&amp;A / HC'</t>
  </si>
  <si>
    <t xml:space="preserve">I-001</t>
  </si>
  <si>
    <t xml:space="preserve">VP Molecular Dx Elimination</t>
  </si>
  <si>
    <t xml:space="preserve">CFO</t>
  </si>
  <si>
    <t xml:space="preserve">I-002</t>
  </si>
  <si>
    <t xml:space="preserve">Director Clinical Affairs Reduction</t>
  </si>
  <si>
    <t xml:space="preserve">CHRO</t>
  </si>
  <si>
    <t xml:space="preserve">I-003</t>
  </si>
  <si>
    <t xml:space="preserve">Regional Sales Manager Reduction (3)</t>
  </si>
  <si>
    <t xml:space="preserve">CSO</t>
  </si>
  <si>
    <t xml:space="preserve">I-004</t>
  </si>
  <si>
    <t xml:space="preserve">Field Service Engineer Optimization (2)</t>
  </si>
  <si>
    <t xml:space="preserve">I-005</t>
  </si>
  <si>
    <t xml:space="preserve">GYN Surgical Marketing Manager</t>
  </si>
  <si>
    <t xml:space="preserve">GY</t>
  </si>
  <si>
    <t xml:space="preserve">CMO</t>
  </si>
  <si>
    <t xml:space="preserve">I-006</t>
  </si>
  <si>
    <t xml:space="preserve">Inside Sales Rep Reduction (4)</t>
  </si>
  <si>
    <t xml:space="preserve">I-007</t>
  </si>
  <si>
    <t xml:space="preserve">Regulatory Affairs Reduction (2)</t>
  </si>
  <si>
    <t xml:space="preserve">CLO</t>
  </si>
  <si>
    <t xml:space="preserve">I-008</t>
  </si>
  <si>
    <t xml:space="preserve">Director Quality Systems Consol</t>
  </si>
  <si>
    <t xml:space="preserve">I-009</t>
  </si>
  <si>
    <t xml:space="preserve">Finance Analyst Reduction (2)</t>
  </si>
  <si>
    <t xml:space="preserve">Complete</t>
  </si>
  <si>
    <t xml:space="preserve">I-010</t>
  </si>
  <si>
    <t xml:space="preserve">IT Infrastructure Staff Reduction (2)</t>
  </si>
  <si>
    <t xml:space="preserve">CIO</t>
  </si>
  <si>
    <t xml:space="preserve">I-025</t>
  </si>
  <si>
    <t xml:space="preserve">Travel &amp; Expense Policy Tightening</t>
  </si>
  <si>
    <t xml:space="preserve">SCENARIO ANALYSIS — G&amp;A / HC  (Upside / Base / Downside)</t>
  </si>
  <si>
    <t xml:space="preserve">COMPANY A  |  Procurement  |  Value Creation Summary  —  All data from detail tabs</t>
  </si>
  <si>
    <t xml:space="preserve">KEY METRICS — PROCUREMENT  (formulas pull from HC Detail + Non-HC Detail tabs)</t>
  </si>
  <si>
    <t xml:space="preserve">INITIATIVE DETAIL — live from Non-HC Detail where Topic = 'Procurement'</t>
  </si>
  <si>
    <t xml:space="preserve">I-013</t>
  </si>
  <si>
    <t xml:space="preserve">Reagent Supplier Renegotiation</t>
  </si>
  <si>
    <t xml:space="preserve">CPO</t>
  </si>
  <si>
    <t xml:space="preserve">I-014</t>
  </si>
  <si>
    <t xml:space="preserve">Capital Equipment Vendor Consolidation</t>
  </si>
  <si>
    <t xml:space="preserve">I-015</t>
  </si>
  <si>
    <t xml:space="preserve">Surgical Consumables GPO Enrollment</t>
  </si>
  <si>
    <t xml:space="preserve">SCENARIO ANALYSIS — PROCUREMENT  (Upside / Base / Downside)</t>
  </si>
  <si>
    <t xml:space="preserve">COMPANY A  |  Marketing  |  Value Creation Summary  —  All data from detail tabs</t>
  </si>
  <si>
    <t xml:space="preserve">KEY METRICS — MARKETING  (formulas pull from HC Detail + Non-HC Detail tabs)</t>
  </si>
  <si>
    <t xml:space="preserve">INITIATIVE DETAIL — live from Non-HC Detail where Topic = 'Marketing'</t>
  </si>
  <si>
    <t xml:space="preserve">I-018</t>
  </si>
  <si>
    <t xml:space="preserve">Marketing Agency Rationalization</t>
  </si>
  <si>
    <t xml:space="preserve">I-019</t>
  </si>
  <si>
    <t xml:space="preserve">Digital Marketing Platform Consolidation</t>
  </si>
  <si>
    <t xml:space="preserve">SCENARIO ANALYSIS — MARKETING  (Upside / Base / Downside)</t>
  </si>
  <si>
    <t xml:space="preserve">COMPANY A  |  Technology  |  Value Creation Summary  —  All data from detail tabs</t>
  </si>
  <si>
    <t xml:space="preserve">KEY METRICS — TECHNOLOGY  (formulas pull from HC Detail + Non-HC Detail tabs)</t>
  </si>
  <si>
    <t xml:space="preserve">INITIATIVE DETAIL — live from Non-HC Detail where Topic = 'Technology'</t>
  </si>
  <si>
    <t xml:space="preserve">I-020</t>
  </si>
  <si>
    <t xml:space="preserve">ERP System Consolidation</t>
  </si>
  <si>
    <t xml:space="preserve">I-021</t>
  </si>
  <si>
    <t xml:space="preserve">Software License Rationalization</t>
  </si>
  <si>
    <t xml:space="preserve">I-022</t>
  </si>
  <si>
    <t xml:space="preserve">R&amp;D Portfolio Prioritization</t>
  </si>
  <si>
    <t xml:space="preserve">SCENARIO ANALYSIS — TECHNOLOGY  (Upside / Base / Downside)</t>
  </si>
  <si>
    <t xml:space="preserve">COMPANY A  |  Distribution  |  Value Creation Summary  —  All data from detail tabs</t>
  </si>
  <si>
    <t xml:space="preserve">KEY METRICS — DISTRIBUTION  (formulas pull from HC Detail + Non-HC Detail tabs)</t>
  </si>
  <si>
    <t xml:space="preserve">INITIATIVE DETAIL — live from Non-HC Detail where Topic = 'Distribution'</t>
  </si>
  <si>
    <t xml:space="preserve">I-016</t>
  </si>
  <si>
    <t xml:space="preserve">3PL Contract Renegotiation</t>
  </si>
  <si>
    <t xml:space="preserve">I-017</t>
  </si>
  <si>
    <t xml:space="preserve">Logistics Network Optimization</t>
  </si>
  <si>
    <t xml:space="preserve">SCENARIO ANALYSIS — DISTRIBUTION  (Upside / Base / Downside)</t>
  </si>
  <si>
    <t xml:space="preserve">COMPANY A  |  Public-to-Private  |  Value Creation Summary  —  All data from detail tabs</t>
  </si>
  <si>
    <t xml:space="preserve">KEY METRICS — PUBLIC-TO-PRIVATE  (formulas pull from HC Detail + Non-HC Detail tabs)</t>
  </si>
  <si>
    <t xml:space="preserve">INITIATIVE DETAIL — live from Non-HC Detail where Topic = 'Public-to-Private'</t>
  </si>
  <si>
    <t xml:space="preserve">I-023</t>
  </si>
  <si>
    <t xml:space="preserve">Office Lease Termination</t>
  </si>
  <si>
    <t xml:space="preserve">I-024</t>
  </si>
  <si>
    <t xml:space="preserve">Public Co. Cost Elimination</t>
  </si>
  <si>
    <t xml:space="preserve">SCENARIO ANALYSIS — PUBLIC-TO-PRIVATE  (Upside / Base / Downside)</t>
  </si>
  <si>
    <t xml:space="preserve">COMPANY A  |  P&amp;L Bridge &amp; Valuation  |  PE Cost Transformation — Finance Model</t>
  </si>
  <si>
    <t xml:space="preserve">Blue = Input  ·  Black = Formula  ·  Green = Cross-sheet link from detail tabs  ·  All $ in actual unless stated $mm</t>
  </si>
  <si>
    <t xml:space="preserve">SECTION 1 — COST SAVINGS BY P&amp;L LINE  (live from HC Detail + Non-HC Detail)</t>
  </si>
  <si>
    <t xml:space="preserve">Topics Included</t>
  </si>
  <si>
    <t xml:space="preserve">Yr1 Realized
Savings ($)</t>
  </si>
  <si>
    <t xml:space="preserve">Yr2 Savings
($)</t>
  </si>
  <si>
    <t xml:space="preserve">Yr3 Run-Rate
($)</t>
  </si>
  <si>
    <t xml:space="preserve">% of Total
Savings</t>
  </si>
  <si>
    <t xml:space="preserve">Manufacturing · Procurement · Distribution</t>
  </si>
  <si>
    <t xml:space="preserve">G&amp;A / HC · Marketing · Technology · Public-to-Private · T&amp;E</t>
  </si>
  <si>
    <t xml:space="preserve">Technology (R&amp;D Portfolio)</t>
  </si>
  <si>
    <t xml:space="preserve">SECTION 2 — P&amp;L BRIDGE  (Enter Baseline Below — Finance Adjusts  |  Blue = Input)</t>
  </si>
  <si>
    <t xml:space="preserve">Baseline Revenue ($)</t>
  </si>
  <si>
    <t xml:space="preserve">Baseline COGS ($)</t>
  </si>
  <si>
    <t xml:space="preserve">Baseline SG&amp;A ($)</t>
  </si>
  <si>
    <t xml:space="preserve">Baseline R&amp;D ($)</t>
  </si>
  <si>
    <t xml:space="preserve">Line Item</t>
  </si>
  <si>
    <t xml:space="preserve">P&amp;L Category</t>
  </si>
  <si>
    <t xml:space="preserve">Baseline ($)</t>
  </si>
  <si>
    <t xml:space="preserve">Cost Savings
(Plan) ($)</t>
  </si>
  <si>
    <t xml:space="preserve">Post-Transform
Forecast ($)</t>
  </si>
  <si>
    <t xml:space="preserve">$ Change</t>
  </si>
  <si>
    <t xml:space="preserve">% Change</t>
  </si>
  <si>
    <t xml:space="preserve">Yr1 Savings
($)</t>
  </si>
  <si>
    <t xml:space="preserve">Revenue</t>
  </si>
  <si>
    <t xml:space="preserve">Cost of Goods Sold</t>
  </si>
  <si>
    <t xml:space="preserve">Gross Profit</t>
  </si>
  <si>
    <t xml:space="preserve">GP</t>
  </si>
  <si>
    <t xml:space="preserve">Gross Margin %</t>
  </si>
  <si>
    <t xml:space="preserve">GM%</t>
  </si>
  <si>
    <t xml:space="preserve">SG&amp;A</t>
  </si>
  <si>
    <t xml:space="preserve">R&amp;D</t>
  </si>
  <si>
    <t xml:space="preserve">EBITDA</t>
  </si>
  <si>
    <t xml:space="preserve">EBITDA Margin %</t>
  </si>
  <si>
    <t xml:space="preserve">EBITDA%</t>
  </si>
  <si>
    <t xml:space="preserve">SECTION 3 — VALUATION ASSUMPTIONS  (Blue = Input)</t>
  </si>
  <si>
    <t xml:space="preserve">Entry EBITDA ($mm)</t>
  </si>
  <si>
    <t xml:space="preserve">Entry EBITDA at acquisition — pre-transformation</t>
  </si>
  <si>
    <t xml:space="preserve">$mm</t>
  </si>
  <si>
    <t xml:space="preserve">Entry EV/EBITDA Multiple (x)</t>
  </si>
  <si>
    <t xml:space="preserve">Entry multiple paid at acquisition</t>
  </si>
  <si>
    <t xml:space="preserve">x</t>
  </si>
  <si>
    <t xml:space="preserve">Run-Rate EBITDA Uplift ($mm)</t>
  </si>
  <si>
    <t xml:space="preserve">Total run-rate savings → EBITDA (from Section 1)</t>
  </si>
  <si>
    <t xml:space="preserve">formula</t>
  </si>
  <si>
    <t xml:space="preserve">Revised EBITDA ($mm)</t>
  </si>
  <si>
    <t xml:space="preserve">Entry EBITDA + run-rate savings uplift</t>
  </si>
  <si>
    <t xml:space="preserve">Net Debt at Entry ($mm)</t>
  </si>
  <si>
    <t xml:space="preserve">Total net debt at time of acquisition</t>
  </si>
  <si>
    <t xml:space="preserve">Mgmt / Co-Invest Equity % (%)</t>
  </si>
  <si>
    <t xml:space="preserve">Management &amp; co-invest share of equity</t>
  </si>
  <si>
    <t xml:space="preserve">%</t>
  </si>
  <si>
    <t xml:space="preserve">Hold Period (yrs)</t>
  </si>
  <si>
    <t xml:space="preserve">Expected PE hold period</t>
  </si>
  <si>
    <t xml:space="preserve">yrs</t>
  </si>
  <si>
    <t xml:space="preserve">Revenue Growth CAGR (%)</t>
  </si>
  <si>
    <t xml:space="preserve">Assumed organic revenue growth over hold</t>
  </si>
  <si>
    <t xml:space="preserve">EBITDA Margin Expansion (pp)</t>
  </si>
  <si>
    <t xml:space="preserve">Additional margin expansion beyond cost savings</t>
  </si>
  <si>
    <t xml:space="preserve">pp</t>
  </si>
  <si>
    <t xml:space="preserve">SECTION 4 — PE VALUATION SCENARIOS  |  3-Case Model  (Downside / Base / Upside)</t>
  </si>
  <si>
    <t xml:space="preserve">Exit Multiple Assumptions (Input):</t>
  </si>
  <si>
    <t xml:space="preserve">Exit Multiple — Downside (x)</t>
  </si>
  <si>
    <t xml:space="preserve">Exit Multiple — Base (x)</t>
  </si>
  <si>
    <t xml:space="preserve">Exit Multiple — Upside (x)</t>
  </si>
  <si>
    <t xml:space="preserve">EBITDA Savings Capture — Downside (%)</t>
  </si>
  <si>
    <t xml:space="preserve">EBITDA Savings Capture — Base (%)</t>
  </si>
  <si>
    <t xml:space="preserve">EBITDA Savings Capture — Upside (%)</t>
  </si>
  <si>
    <t xml:space="preserve">Metric</t>
  </si>
  <si>
    <t xml:space="preserve">Formula / Driver</t>
  </si>
  <si>
    <t xml:space="preserve">Base Case</t>
  </si>
  <si>
    <t xml:space="preserve">Entry Revenue ($mm)</t>
  </si>
  <si>
    <t xml:space="preserve">Baseline input</t>
  </si>
  <si>
    <t xml:space="preserve">Exit Revenue ($mm)</t>
  </si>
  <si>
    <t xml:space="preserve">Entry × (1 + Rev CAGR)^Hold</t>
  </si>
  <si>
    <t xml:space="preserve">Assumption input</t>
  </si>
  <si>
    <t xml:space="preserve">Savings Captured ($mm)</t>
  </si>
  <si>
    <t xml:space="preserve">Run-rate uplift × capture rate</t>
  </si>
  <si>
    <t xml:space="preserve">Margin Expansion Benefit ($mm)</t>
  </si>
  <si>
    <t xml:space="preserve">Exit Rev × margin expansion pp</t>
  </si>
  <si>
    <t xml:space="preserve">Exit EBITDA ($mm)</t>
  </si>
  <si>
    <t xml:space="preserve">Entry + savings + margin expansion</t>
  </si>
  <si>
    <t xml:space="preserve">Exit EBITDA Margin %</t>
  </si>
  <si>
    <t xml:space="preserve">Exit EBITDA / Exit Revenue</t>
  </si>
  <si>
    <t xml:space="preserve">Exit Multiple (x)</t>
  </si>
  <si>
    <t xml:space="preserve">Exit EV/EBITDA — assumption input</t>
  </si>
  <si>
    <t xml:space="preserve">Exit Enterprise Value ($mm)</t>
  </si>
  <si>
    <t xml:space="preserve">Exit EBITDA × Exit Multiple</t>
  </si>
  <si>
    <t xml:space="preserve">Entry Enterprise Value ($mm)</t>
  </si>
  <si>
    <t xml:space="preserve">Entry EBITDA × Entry Multiple</t>
  </si>
  <si>
    <t xml:space="preserve">Net Debt ($mm)</t>
  </si>
  <si>
    <t xml:space="preserve">Entry Equity Value ($mm)</t>
  </si>
  <si>
    <t xml:space="preserve">Entry EV − Net Debt</t>
  </si>
  <si>
    <t xml:space="preserve">Exit Equity Value ($mm)</t>
  </si>
  <si>
    <t xml:space="preserve">Exit EV − Net Debt</t>
  </si>
  <si>
    <t xml:space="preserve">Gross MOIC (x)</t>
  </si>
  <si>
    <t xml:space="preserve">Exit Equity / Entry Equity</t>
  </si>
  <si>
    <t xml:space="preserve">Equity Value Created ($mm)</t>
  </si>
  <si>
    <t xml:space="preserve">Exit Equity − Entry Equity</t>
  </si>
  <si>
    <t xml:space="preserve">IRR (approx)</t>
  </si>
  <si>
    <t xml:space="preserve">~MOIC^(1/Hold)−1</t>
  </si>
  <si>
    <t xml:space="preserve">SECTION 5 — SENSITIVITY TABLE  |  MOIC × (Exit Multiple vs. EBITDA Capture %)</t>
  </si>
  <si>
    <t xml:space="preserve">MOIC  ↕ Capture %  /  Exit Multiple →</t>
  </si>
  <si>
    <t xml:space="preserve">10x</t>
  </si>
  <si>
    <t xml:space="preserve">11x</t>
  </si>
  <si>
    <t xml:space="preserve">12x</t>
  </si>
  <si>
    <t xml:space="preserve">13x</t>
  </si>
  <si>
    <t xml:space="preserve">14x</t>
  </si>
  <si>
    <t xml:space="preserve">15x</t>
  </si>
  <si>
    <t xml:space="preserve">16x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</si>
  <si>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</si>
  <si>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</si>
  <si>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</si>
  <si>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</si>
  <si>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</si>
  <si>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110%</t>
  </si>
  <si>
    <t xml:space="preserve">115%</t>
  </si>
  <si>
    <t xml:space="preserve">COMPANY A  |  Initiative Log  |  Master Raw Data — All Other Tabs Pull From Here</t>
  </si>
  <si>
    <t xml:space="preserve">BU</t>
  </si>
  <si>
    <t xml:space="preserve">Segment
(Dx/BH/GY)</t>
  </si>
  <si>
    <t xml:space="preserve">Category
(HC/Non-HC)</t>
  </si>
  <si>
    <t xml:space="preserve">Topic</t>
  </si>
  <si>
    <t xml:space="preserve">Sub-Category</t>
  </si>
  <si>
    <t xml:space="preserve">Department</t>
  </si>
  <si>
    <t xml:space="preserve">GL Code</t>
  </si>
  <si>
    <t xml:space="preserve">Start Date</t>
  </si>
  <si>
    <t xml:space="preserve">End Date</t>
  </si>
  <si>
    <t xml:space="preserve">Upside
Target ($)</t>
  </si>
  <si>
    <t xml:space="preserve">Yr1 %</t>
  </si>
  <si>
    <t xml:space="preserve">Yr2 %</t>
  </si>
  <si>
    <t xml:space="preserve">Yr3 %</t>
  </si>
  <si>
    <t xml:space="preserve">P&amp;L Line
(COGS/SGA/RD)</t>
  </si>
  <si>
    <t xml:space="preserve">Corp</t>
  </si>
  <si>
    <t xml:space="preserve">HC</t>
  </si>
  <si>
    <t xml:space="preserve">Executive</t>
  </si>
  <si>
    <t xml:space="preserve">6100</t>
  </si>
  <si>
    <t xml:space="preserve">Elim VP Molecular Dx post-acq</t>
  </si>
  <si>
    <t xml:space="preserve">2025-01-01</t>
  </si>
  <si>
    <t xml:space="preserve">2025-03-31</t>
  </si>
  <si>
    <t xml:space="preserve">Director</t>
  </si>
  <si>
    <t xml:space="preserve">Clinical Affairs</t>
  </si>
  <si>
    <t xml:space="preserve">Consolidate two Director roles</t>
  </si>
  <si>
    <t xml:space="preserve">2025-06-30</t>
  </si>
  <si>
    <t xml:space="preserve">Manager</t>
  </si>
  <si>
    <t xml:space="preserve">Sales</t>
  </si>
  <si>
    <t xml:space="preserve">6110</t>
  </si>
  <si>
    <t xml:space="preserve">RSM headcount -3, territory consol</t>
  </si>
  <si>
    <t xml:space="preserve">2025-02-01</t>
  </si>
  <si>
    <t xml:space="preserve">IC</t>
  </si>
  <si>
    <t xml:space="preserve">Field Service</t>
  </si>
  <si>
    <t xml:space="preserve">FSE reduction via territory consol</t>
  </si>
  <si>
    <t xml:space="preserve">2025-04-01</t>
  </si>
  <si>
    <t xml:space="preserve">2025-09-30</t>
  </si>
  <si>
    <t xml:space="preserve">6120</t>
  </si>
  <si>
    <t xml:space="preserve">Elim GYN Surgical Marketing Mgr</t>
  </si>
  <si>
    <t xml:space="preserve">Inside sales -4 FTEs</t>
  </si>
  <si>
    <t xml:space="preserve">2025-05-01</t>
  </si>
  <si>
    <t xml:space="preserve">2025-10-31</t>
  </si>
  <si>
    <t xml:space="preserve">Shared</t>
  </si>
  <si>
    <t xml:space="preserve">Regulatory</t>
  </si>
  <si>
    <t xml:space="preserve">6130</t>
  </si>
  <si>
    <t xml:space="preserve">Consolidate RA function post-acq</t>
  </si>
  <si>
    <t xml:space="preserve">2025-07-31</t>
  </si>
  <si>
    <t xml:space="preserve">Quality</t>
  </si>
  <si>
    <t xml:space="preserve">Merge BH+Dx Quality Director</t>
  </si>
  <si>
    <t xml:space="preserve">2025-04-30</t>
  </si>
  <si>
    <t xml:space="preserve">Finance</t>
  </si>
  <si>
    <t xml:space="preserve">6140</t>
  </si>
  <si>
    <t xml:space="preserve">Finance analyst pool -2 FTEs</t>
  </si>
  <si>
    <t xml:space="preserve">2025-02-28</t>
  </si>
  <si>
    <t xml:space="preserve">IT</t>
  </si>
  <si>
    <t xml:space="preserve">IT headcount after system consol</t>
  </si>
  <si>
    <t xml:space="preserve">2025-06-01</t>
  </si>
  <si>
    <t xml:space="preserve">2025-12-31</t>
  </si>
  <si>
    <t xml:space="preserve">Mfg</t>
  </si>
  <si>
    <t xml:space="preserve">Non-HC</t>
  </si>
  <si>
    <t xml:space="preserve">Facility</t>
  </si>
  <si>
    <t xml:space="preserve">7100</t>
  </si>
  <si>
    <t xml:space="preserve">Full closure SD site, transfer to MA</t>
  </si>
  <si>
    <t xml:space="preserve">2025-03-01</t>
  </si>
  <si>
    <t xml:space="preserve">2026-06-30</t>
  </si>
  <si>
    <t xml:space="preserve">Consolidate two Marlborough sites</t>
  </si>
  <si>
    <t xml:space="preserve">2025-07-01</t>
  </si>
  <si>
    <t xml:space="preserve">2026-12-31</t>
  </si>
  <si>
    <t xml:space="preserve">Vendor Renegotiation</t>
  </si>
  <si>
    <t xml:space="preserve">7200</t>
  </si>
  <si>
    <t xml:space="preserve">Renegotiate reagent contracts -15%</t>
  </si>
  <si>
    <t xml:space="preserve">Vendor Consolidation</t>
  </si>
  <si>
    <t xml:space="preserve">Reduce vendor list, leverage vol pricing</t>
  </si>
  <si>
    <t xml:space="preserve">GPO Enrollment</t>
  </si>
  <si>
    <t xml:space="preserve">7210</t>
  </si>
  <si>
    <t xml:space="preserve">GPO enrollment -12% consumables</t>
  </si>
  <si>
    <t xml:space="preserve">3PL Renegotiation</t>
  </si>
  <si>
    <t xml:space="preserve">Supply Chain</t>
  </si>
  <si>
    <t xml:space="preserve">7300</t>
  </si>
  <si>
    <t xml:space="preserve">Renegotiate primary 3PL contracts</t>
  </si>
  <si>
    <t xml:space="preserve">Network Optimization</t>
  </si>
  <si>
    <t xml:space="preserve">Optimize hub-spoke distribution</t>
  </si>
  <si>
    <t xml:space="preserve">2026-03-31</t>
  </si>
  <si>
    <t xml:space="preserve">Agency Rationalization</t>
  </si>
  <si>
    <t xml:space="preserve">7400</t>
  </si>
  <si>
    <t xml:space="preserve">Reduce agency spend, insource</t>
  </si>
  <si>
    <t xml:space="preserve">Martech Consolidation</t>
  </si>
  <si>
    <t xml:space="preserve">Consolidate martech 12→5 platforms</t>
  </si>
  <si>
    <t xml:space="preserve">ERP Consolidation</t>
  </si>
  <si>
    <t xml:space="preserve">7500</t>
  </si>
  <si>
    <t xml:space="preserve">Consolidate legacy ERPs post-acq</t>
  </si>
  <si>
    <t xml:space="preserve">License Rationalization</t>
  </si>
  <si>
    <t xml:space="preserve">Audit &amp; elim redundant licenses</t>
  </si>
  <si>
    <t xml:space="preserve">R&amp;D Portfolio</t>
  </si>
  <si>
    <t xml:space="preserve">7600</t>
  </si>
  <si>
    <t xml:space="preserve">Deprioritize 3 low-ROI R&amp;D programs</t>
  </si>
  <si>
    <t xml:space="preserve">Lease Termination</t>
  </si>
  <si>
    <t xml:space="preserve">Real Estate</t>
  </si>
  <si>
    <t xml:space="preserve">7700</t>
  </si>
  <si>
    <t xml:space="preserve">Terminate 4 regional leases post go-private</t>
  </si>
  <si>
    <t xml:space="preserve">Public Co Costs</t>
  </si>
  <si>
    <t xml:space="preserve">7800</t>
  </si>
  <si>
    <t xml:space="preserve">Elim audit/IR/D&amp;O/consulting post go-private</t>
  </si>
  <si>
    <t xml:space="preserve">T&amp;E Policy</t>
  </si>
  <si>
    <t xml:space="preserve">7900</t>
  </si>
  <si>
    <t xml:space="preserve">New T&amp;E policy -30%</t>
  </si>
  <si>
    <t xml:space="preserve">TOTALS</t>
  </si>
  <si>
    <t xml:space="preserve">COMPANY A  |  HC Detail  |  Manual Input Rows → Auto-Tag Columns Pull from Initiative Log</t>
  </si>
  <si>
    <t xml:space="preserve">Employee / Position</t>
  </si>
  <si>
    <t xml:space="preserve">Job Title</t>
  </si>
  <si>
    <t xml:space="preserve">Level</t>
  </si>
  <si>
    <t xml:space="preserve">FTE</t>
  </si>
  <si>
    <t xml:space="preserve">Base Salary ($)</t>
  </si>
  <si>
    <t xml:space="preserve">Bonus ($)</t>
  </si>
  <si>
    <t xml:space="preserve">Total Cash ($)</t>
  </si>
  <si>
    <t xml:space="preserve">Benefits &amp;
Payroll Tax ($)</t>
  </si>
  <si>
    <t xml:space="preserve">Total Annual
Comp ($)</t>
  </si>
  <si>
    <t xml:space="preserve">Severance (Wks)</t>
  </si>
  <si>
    <t xml:space="preserve">Severance Amt ($)</t>
  </si>
  <si>
    <t xml:space="preserve">Outplacement ($)</t>
  </si>
  <si>
    <t xml:space="preserve">Total One-Time Cost ($)</t>
  </si>
  <si>
    <t xml:space="preserve">Gross Annual
Saving ($)</t>
  </si>
  <si>
    <t xml:space="preserve">Yr1 Realized
Saving ($)</t>
  </si>
  <si>
    <t xml:space="preserve">Run-Rate
Annual Saving ($)</t>
  </si>
  <si>
    <t xml:space="preserve">Topic
[auto]</t>
  </si>
  <si>
    <t xml:space="preserve">P&amp;L Line
[auto]</t>
  </si>
  <si>
    <t xml:space="preserve">Status
[auto]</t>
  </si>
  <si>
    <t xml:space="preserve">Owner
[auto]</t>
  </si>
  <si>
    <t xml:space="preserve">Segment Tag
[auto]</t>
  </si>
  <si>
    <t xml:space="preserve">[Position Eliminated]</t>
  </si>
  <si>
    <t xml:space="preserve">VP Molecular Diagnostics</t>
  </si>
  <si>
    <t xml:space="preserve">Exec</t>
  </si>
  <si>
    <t xml:space="preserve">Director Clinical Affairs</t>
  </si>
  <si>
    <t xml:space="preserve">Dir</t>
  </si>
  <si>
    <t xml:space="preserve">[Position Consolidated]</t>
  </si>
  <si>
    <t xml:space="preserve">Director Clinical Operations</t>
  </si>
  <si>
    <t xml:space="preserve">Regional Sales Manager - East</t>
  </si>
  <si>
    <t xml:space="preserve">Mgr</t>
  </si>
  <si>
    <t xml:space="preserve">Regional Sales Manager - Central</t>
  </si>
  <si>
    <t xml:space="preserve">Regional Sales Manager - West</t>
  </si>
  <si>
    <t xml:space="preserve">Field Service Engineer Sr.</t>
  </si>
  <si>
    <t xml:space="preserve">Field Service Engineer</t>
  </si>
  <si>
    <t xml:space="preserve">Marketing Manager - GYN Surgical</t>
  </si>
  <si>
    <t xml:space="preserve">Inside Sales Rep</t>
  </si>
  <si>
    <t xml:space="preserve">Regulatory Affairs Specialist</t>
  </si>
  <si>
    <t xml:space="preserve">Regulatory Affairs Specialist Sr.</t>
  </si>
  <si>
    <t xml:space="preserve">Director Quality Systems - BH</t>
  </si>
  <si>
    <t xml:space="preserve">Finance Analyst II</t>
  </si>
  <si>
    <t xml:space="preserve">Finance Analyst I</t>
  </si>
  <si>
    <t xml:space="preserve">IT Infrastructure Analyst Sr.</t>
  </si>
  <si>
    <t xml:space="preserve">IT Infrastructure Analyst</t>
  </si>
  <si>
    <t xml:space="preserve">COMPANY A  |  Non-HC Detail  |  Manual Input + Auto-Tag Columns from Initiative Log</t>
  </si>
  <si>
    <t xml:space="preserve">Baseline Cost ($)</t>
  </si>
  <si>
    <t xml:space="preserve">One-Time
Impl. Cost ($)</t>
  </si>
  <si>
    <t xml:space="preserve">Savings %
vs Baseline</t>
  </si>
  <si>
    <t xml:space="preserve">Payback
Period (Yrs)</t>
  </si>
  <si>
    <t xml:space="preserve">vs. Upside
($ Gap)</t>
  </si>
  <si>
    <t xml:space="preserve">vs. Upside
(% Gap)</t>
  </si>
  <si>
    <t xml:space="preserve">vs. Baseline
($ Gap)</t>
  </si>
  <si>
    <t xml:space="preserve">vs. Baseline
(% Gap)</t>
  </si>
  <si>
    <t xml:space="preserve">Yr1%
[auto]</t>
  </si>
  <si>
    <t xml:space="preserve">Yr2%
[auto]</t>
  </si>
  <si>
    <t xml:space="preserve">Yr3%
[auto]</t>
  </si>
  <si>
    <t xml:space="preserve">COMPANY A — Value Tracking Model v3 — Instructions</t>
  </si>
  <si>
    <t xml:space="preserve">COLOR CODING</t>
  </si>
  <si>
    <t xml:space="preserve">Blue text</t>
  </si>
  <si>
    <t xml:space="preserve">Hardcoded inputs — only cells you manually update</t>
  </si>
  <si>
    <t xml:space="preserve">Black text</t>
  </si>
  <si>
    <t xml:space="preserve">Formula calculations — do not override</t>
  </si>
  <si>
    <t xml:space="preserve">Green text</t>
  </si>
  <si>
    <t xml:space="preserve">Cross-sheet links pulling from detail tabs</t>
  </si>
  <si>
    <t xml:space="preserve">Teal background</t>
  </si>
  <si>
    <t xml:space="preserve">Auto-tag columns — these populate automatically via VLOOKUP</t>
  </si>
  <si>
    <t xml:space="preserve">ARCHITECTURE</t>
  </si>
  <si>
    <t xml:space="preserve">Initiative Log</t>
  </si>
  <si>
    <t xml:space="preserve">Master raw data — manually add new initiatives here. 23 input columns. Everything else reads from here.</t>
  </si>
  <si>
    <t xml:space="preserve">HC Detail</t>
  </si>
  <si>
    <t xml:space="preserve">Employee-level rows (manual). Cols T–X auto-tag from Initiative Log via VLOOKUP: Topic, P&amp;L Line, Status, Owner, Segment.</t>
  </si>
  <si>
    <t xml:space="preserve">Non-HC Detail</t>
  </si>
  <si>
    <t xml:space="preserve">Initiative-level rows (manual). Cols V–Z auto-tag from Initiative Log. Cols P–U = scenario analysis (Upside/Baseline % gap on far right).</t>
  </si>
  <si>
    <t xml:space="preserve">Topic Summary tabs</t>
  </si>
  <si>
    <t xml:space="preserve">7 tabs (Manufacturing, G&amp;A/HC, Procurement, Marketing, Technology, Distribution, Public-to-Private). KPIs + detail table + scenario analysis — all SUMIF/SUMPRODUCT from HC Detail + Non-HC Detail.</t>
  </si>
  <si>
    <t xml:space="preserve">P&amp;L Bridge &amp; Valuation</t>
  </si>
  <si>
    <t xml:space="preserve">Section 1: savings by P&amp;L line (live from detail). Section 2: P&amp;L bridge (enter baseline inputs in blue). Section 3: valuation assumptions. Section 4: 3-scenario PE model (Downside/Base/Upside). Section 5: MOIC sensitivity table.</t>
  </si>
  <si>
    <t xml:space="preserve">Summary Dashboard</t>
  </si>
  <si>
    <t xml:space="preserve">Master KPIs + by workstream + by segment + 3yr ramp — all live from detail tabs.</t>
  </si>
  <si>
    <t xml:space="preserve">HOW TO ADD AN INITIATIVE</t>
  </si>
  <si>
    <t xml:space="preserve">Step 1</t>
  </si>
  <si>
    <t xml:space="preserve">Go to Initiative Log → add a row above TOTALS → fill all blue columns → assign next ID (I-026...)</t>
  </si>
  <si>
    <t xml:space="preserve">Step 2</t>
  </si>
  <si>
    <t xml:space="preserve">If HC: add row(s) to HC Detail with employee data. Auto-tag cols (T–X) populate automatically.</t>
  </si>
  <si>
    <t xml:space="preserve">Step 3</t>
  </si>
  <si>
    <t xml:space="preserve">If Non-HC: add row to Non-HC Detail. Auto-tag cols (V–Z) populate automatically. Upside/Baseline scenarios auto-calculate.</t>
  </si>
  <si>
    <t xml:space="preserve">Step 4</t>
  </si>
  <si>
    <t xml:space="preserve">All summaries, the master dashboard, and the P&amp;L model update automatically.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</si>
</sst>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_);&quot;($&quot;#,##0\);\-"/>
    <numFmt numFmtId="166" formatCode="#,##0_);\(#,##0\);\-"/>
    <numFmt numFmtId="167" formatCode="0.0%;\(0.0%\);\-"/>
    <numFmt numFmtId="168" formatCode="0.0\x"/>
    <numFmt numFmtId="169" formatCode="#,##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375623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5959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D9D9"/>
        <bgColor rgb="FFD9EAF0"/>
      </patternFill>
    </fill>
    <fill>
      <patternFill patternType="solid">
        <fgColor rgb="FFDEEAF1"/>
        <bgColor rgb="FFD9EAF0"/>
      </patternFill>
    </fill>
    <fill>
      <patternFill patternType="solid">
        <fgColor rgb="FFFFFFFF"/>
        <bgColor rgb="FFE8F5F8"/>
      </patternFill>
    </fill>
    <fill>
      <patternFill patternType="solid">
        <fgColor rgb="FF2E75B6"/>
        <bgColor rgb="FF1F6B75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1F6B75"/>
        <bgColor rgb="FF008080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D9EAF0"/>
        <bgColor rgb="FFDEEAF1"/>
      </patternFill>
    </fill>
    <fill>
      <patternFill patternType="solid">
        <fgColor rgb="FFE8F5F8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6B75"/>
      <rgbColor rgb="FFBFBFBF"/>
      <rgbColor rgb="FF808080"/>
      <rgbColor rgb="FF9999FF"/>
      <rgbColor rgb="FF7030A0"/>
      <rgbColor rgb="FFFFF2CC"/>
      <rgbColor rgb="FFE8F5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0"/>
      <rgbColor rgb="FFE2EFDA"/>
      <rgbColor rgb="FFDEEAF1"/>
      <rgbColor rgb="FFD9D9D9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  <col collapsed="false" customWidth="true" hidden="false" outlineLevel="0" max="9" min="6" style="0" width="14"/>
    <col collapsed="false" customWidth="true" hidden="false" outlineLevel="0" max="16" min="10" style="0" width="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8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  <c r="M5" s="4" t="s">
        <v>9</v>
      </c>
      <c r="N5" s="4"/>
      <c r="O5" s="4" t="s">
        <v>10</v>
      </c>
      <c r="P5" s="4"/>
    </row>
    <row r="6" customFormat="false" ht="31.5" hidden="false" customHeight="true" outlineLevel="0" collapsed="false">
      <c r="A6" s="5" t="n">
        <f aca="false">SUM('HC Detail'!$Q$3:$Q$22)+SUM('Non-HC Detail'!$I$3:$I$17)</f>
        <v>24154000</v>
      </c>
      <c r="B6" s="5"/>
      <c r="C6" s="5" t="n">
        <f aca="false">SUM('HC Detail'!$Q$3:$Q$22)</f>
        <v>3539000</v>
      </c>
      <c r="D6" s="5"/>
      <c r="E6" s="5" t="n">
        <f aca="false">SUM('Non-HC Detail'!$I$3:$I$17)</f>
        <v>20615000</v>
      </c>
      <c r="F6" s="5"/>
      <c r="G6" s="5" t="n">
        <f aca="false">SUM('HC Detail'!$P$3:$P$22)+SUM('Non-HC Detail'!$J$3:$J$17)</f>
        <v>7090115.38461538</v>
      </c>
      <c r="H6" s="5"/>
      <c r="I6" s="5" t="n">
        <f aca="false">SUM('HC Detail'!$Q$3:$Q$22)+SUM('Non-HC Detail'!$I$3:$I$17)-(SUM('HC Detail'!$P$3:$P$22)+SUM('Non-HC Detail'!$J$3:$J$17))</f>
        <v>17063884.6153846</v>
      </c>
      <c r="J6" s="5"/>
      <c r="K6" s="5" t="n">
        <f aca="false">SUM('HC Detail'!$R$3:$R$22)+SUM('Non-HC Detail'!$L$3:$L$17)</f>
        <v>9505525</v>
      </c>
      <c r="L6" s="5"/>
      <c r="M6" s="5" t="n">
        <f aca="false">SUM('HC Detail'!$S$3:$S$22)+SUM('Non-HC Detail'!$M$3:$M$17)</f>
        <v>24154000</v>
      </c>
      <c r="N6" s="5"/>
      <c r="O6" s="6" t="n">
        <f aca="false">SUM('HC Detail'!$G$3:$G$22)</f>
        <v>20</v>
      </c>
      <c r="P6" s="6"/>
    </row>
    <row r="8" customFormat="false" ht="21.75" hidden="false" customHeight="true" outlineLevel="0" collapsed="false">
      <c r="A8" s="3" t="s">
        <v>11</v>
      </c>
      <c r="B8" s="3"/>
      <c r="C8" s="3"/>
      <c r="D8" s="3"/>
      <c r="E8" s="3"/>
      <c r="F8" s="3"/>
      <c r="G8" s="3"/>
      <c r="H8" s="3"/>
      <c r="I8" s="3"/>
    </row>
    <row r="9" customFormat="false" ht="36" hidden="false" customHeight="true" outlineLevel="0" collapsed="false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</row>
    <row r="10" customFormat="false" ht="19.5" hidden="false" customHeight="true" outlineLevel="0" collapsed="false">
      <c r="A10" s="8" t="s">
        <v>21</v>
      </c>
      <c r="B10" s="9" t="n">
        <f aca="false">COUNTIF('HC Detail'!$T$3:$T$22,"Manufacturing")</f>
        <v>0</v>
      </c>
      <c r="C10" s="9" t="n">
        <f aca="false">COUNTIF('Non-HC Detail'!$D$3:$D$17,"Manufacturing")</f>
        <v>2</v>
      </c>
      <c r="D10" s="10" t="n">
        <f aca="false">SUMIF('HC Detail'!$T$3:$T$22,"Manufacturing",'HC Detail'!$Q$3:$Q$22)</f>
        <v>0</v>
      </c>
      <c r="E10" s="10" t="n">
        <f aca="false">SUMIF('Non-HC Detail'!$D$3:$D$17,"Manufacturing",'Non-HC Detail'!$I$3:$I$17)</f>
        <v>6050000</v>
      </c>
      <c r="F10" s="10" t="n">
        <f aca="false">D10+E10</f>
        <v>6050000</v>
      </c>
      <c r="G10" s="10" t="n">
        <f aca="false">SUMIF('HC Detail'!$T$3:$T$22,"Manufacturing",'HC Detail'!$P$3:$P$22)+SUMIF('Non-HC Detail'!$D$3:$D$17,"Manufacturing",'Non-HC Detail'!$J$3:$J$17)</f>
        <v>2750000</v>
      </c>
      <c r="H10" s="10" t="n">
        <f aca="false">F10-G10</f>
        <v>3300000</v>
      </c>
      <c r="I10" s="10" t="n">
        <f aca="false">SUMIF('HC Detail'!$T$3:$T$22,"Manufacturing",'HC Detail'!$R$3:$R$22)+SUMIF('Non-HC Detail'!$D$3:$D$17,"Manufacturing",'Non-HC Detail'!$L$3:$L$17)</f>
        <v>1445000</v>
      </c>
    </row>
    <row r="11" customFormat="false" ht="19.5" hidden="false" customHeight="true" outlineLevel="0" collapsed="false">
      <c r="A11" s="11" t="s">
        <v>22</v>
      </c>
      <c r="B11" s="12" t="n">
        <f aca="false">COUNTIF('HC Detail'!$T$3:$T$22,"G&amp;A / HC")</f>
        <v>20</v>
      </c>
      <c r="C11" s="12" t="n">
        <f aca="false">COUNTIF('Non-HC Detail'!$D$3:$D$17,"G&amp;A / HC")</f>
        <v>1</v>
      </c>
      <c r="D11" s="13" t="n">
        <f aca="false">SUMIF('HC Detail'!$T$3:$T$22,"G&amp;A / HC",'HC Detail'!$Q$3:$Q$22)</f>
        <v>3539000</v>
      </c>
      <c r="E11" s="13" t="n">
        <f aca="false">SUMIF('Non-HC Detail'!$D$3:$D$17,"G&amp;A / HC",'Non-HC Detail'!$I$3:$I$17)</f>
        <v>480000</v>
      </c>
      <c r="F11" s="13" t="n">
        <f aca="false">D11+E11</f>
        <v>4019000</v>
      </c>
      <c r="G11" s="13" t="n">
        <f aca="false">SUMIF('HC Detail'!$T$3:$T$22,"G&amp;A / HC",'HC Detail'!$P$3:$P$22)+SUMIF('Non-HC Detail'!$D$3:$D$17,"G&amp;A / HC",'Non-HC Detail'!$J$3:$J$17)</f>
        <v>1095115.38461538</v>
      </c>
      <c r="H11" s="13" t="n">
        <f aca="false">F11-G11</f>
        <v>2923884.61538462</v>
      </c>
      <c r="I11" s="13" t="n">
        <f aca="false">SUMIF('HC Detail'!$T$3:$T$22,"G&amp;A / HC",'HC Detail'!$R$3:$R$22)+SUMIF('Non-HC Detail'!$D$3:$D$17,"G&amp;A / HC",'Non-HC Detail'!$L$3:$L$17)</f>
        <v>1752525</v>
      </c>
    </row>
    <row r="12" customFormat="false" ht="19.5" hidden="false" customHeight="true" outlineLevel="0" collapsed="false">
      <c r="A12" s="8" t="s">
        <v>23</v>
      </c>
      <c r="B12" s="9" t="n">
        <f aca="false">COUNTIF('HC Detail'!$T$3:$T$22,"Procurement")</f>
        <v>0</v>
      </c>
      <c r="C12" s="9" t="n">
        <f aca="false">COUNTIF('Non-HC Detail'!$D$3:$D$17,"Procurement")</f>
        <v>3</v>
      </c>
      <c r="D12" s="10" t="n">
        <f aca="false">SUMIF('HC Detail'!$T$3:$T$22,"Procurement",'HC Detail'!$Q$3:$Q$22)</f>
        <v>0</v>
      </c>
      <c r="E12" s="10" t="n">
        <f aca="false">SUMIF('Non-HC Detail'!$D$3:$D$17,"Procurement",'Non-HC Detail'!$I$3:$I$17)</f>
        <v>5175000</v>
      </c>
      <c r="F12" s="10" t="n">
        <f aca="false">D12+E12</f>
        <v>5175000</v>
      </c>
      <c r="G12" s="10" t="n">
        <f aca="false">SUMIF('HC Detail'!$T$3:$T$22,"Procurement",'HC Detail'!$P$3:$P$22)+SUMIF('Non-HC Detail'!$D$3:$D$17,"Procurement",'Non-HC Detail'!$J$3:$J$17)</f>
        <v>280000</v>
      </c>
      <c r="H12" s="10" t="n">
        <f aca="false">F12-G12</f>
        <v>4895000</v>
      </c>
      <c r="I12" s="10" t="n">
        <f aca="false">SUMIF('HC Detail'!$T$3:$T$22,"Procurement",'HC Detail'!$R$3:$R$22)+SUMIF('Non-HC Detail'!$D$3:$D$17,"Procurement",'Non-HC Detail'!$L$3:$L$17)</f>
        <v>2325000</v>
      </c>
    </row>
    <row r="13" customFormat="false" ht="19.5" hidden="false" customHeight="true" outlineLevel="0" collapsed="false">
      <c r="A13" s="11" t="s">
        <v>24</v>
      </c>
      <c r="B13" s="12" t="n">
        <f aca="false">COUNTIF('HC Detail'!$T$3:$T$22,"Marketing")</f>
        <v>0</v>
      </c>
      <c r="C13" s="12" t="n">
        <f aca="false">COUNTIF('Non-HC Detail'!$D$3:$D$17,"Marketing")</f>
        <v>2</v>
      </c>
      <c r="D13" s="13" t="n">
        <f aca="false">SUMIF('HC Detail'!$T$3:$T$22,"Marketing",'HC Detail'!$Q$3:$Q$22)</f>
        <v>0</v>
      </c>
      <c r="E13" s="13" t="n">
        <f aca="false">SUMIF('Non-HC Detail'!$D$3:$D$17,"Marketing",'Non-HC Detail'!$I$3:$I$17)</f>
        <v>1330000</v>
      </c>
      <c r="F13" s="13" t="n">
        <f aca="false">D13+E13</f>
        <v>1330000</v>
      </c>
      <c r="G13" s="13" t="n">
        <f aca="false">SUMIF('HC Detail'!$T$3:$T$22,"Marketing",'HC Detail'!$P$3:$P$22)+SUMIF('Non-HC Detail'!$D$3:$D$17,"Marketing",'Non-HC Detail'!$J$3:$J$17)</f>
        <v>195000</v>
      </c>
      <c r="H13" s="13" t="n">
        <f aca="false">F13-G13</f>
        <v>1135000</v>
      </c>
      <c r="I13" s="13" t="n">
        <f aca="false">SUMIF('HC Detail'!$T$3:$T$22,"Marketing",'HC Detail'!$R$3:$R$22)+SUMIF('Non-HC Detail'!$D$3:$D$17,"Marketing",'Non-HC Detail'!$L$3:$L$17)</f>
        <v>627000</v>
      </c>
    </row>
    <row r="14" customFormat="false" ht="19.5" hidden="false" customHeight="true" outlineLevel="0" collapsed="false">
      <c r="A14" s="8" t="s">
        <v>25</v>
      </c>
      <c r="B14" s="9" t="n">
        <f aca="false">COUNTIF('HC Detail'!$T$3:$T$22,"Technology")</f>
        <v>0</v>
      </c>
      <c r="C14" s="9" t="n">
        <f aca="false">COUNTIF('Non-HC Detail'!$D$3:$D$17,"Technology")</f>
        <v>3</v>
      </c>
      <c r="D14" s="10" t="n">
        <f aca="false">SUMIF('HC Detail'!$T$3:$T$22,"Technology",'HC Detail'!$Q$3:$Q$22)</f>
        <v>0</v>
      </c>
      <c r="E14" s="10" t="n">
        <f aca="false">SUMIF('Non-HC Detail'!$D$3:$D$17,"Technology",'Non-HC Detail'!$I$3:$I$17)</f>
        <v>4620000</v>
      </c>
      <c r="F14" s="10" t="n">
        <f aca="false">D14+E14</f>
        <v>4620000</v>
      </c>
      <c r="G14" s="10" t="n">
        <f aca="false">SUMIF('HC Detail'!$T$3:$T$22,"Technology",'HC Detail'!$P$3:$P$22)+SUMIF('Non-HC Detail'!$D$3:$D$17,"Technology",'Non-HC Detail'!$J$3:$J$17)</f>
        <v>2430000</v>
      </c>
      <c r="H14" s="10" t="n">
        <f aca="false">F14-G14</f>
        <v>2190000</v>
      </c>
      <c r="I14" s="10" t="n">
        <f aca="false">SUMIF('HC Detail'!$T$3:$T$22,"Technology",'HC Detail'!$R$3:$R$22)+SUMIF('Non-HC Detail'!$D$3:$D$17,"Technology",'Non-HC Detail'!$L$3:$L$17)</f>
        <v>1470000</v>
      </c>
    </row>
    <row r="15" customFormat="false" ht="19.5" hidden="false" customHeight="true" outlineLevel="0" collapsed="false">
      <c r="A15" s="11" t="s">
        <v>26</v>
      </c>
      <c r="B15" s="12" t="n">
        <f aca="false">COUNTIF('HC Detail'!$T$3:$T$22,"Distribution")</f>
        <v>0</v>
      </c>
      <c r="C15" s="12" t="n">
        <f aca="false">COUNTIF('Non-HC Detail'!$D$3:$D$17,"Distribution")</f>
        <v>2</v>
      </c>
      <c r="D15" s="13" t="n">
        <f aca="false">SUMIF('HC Detail'!$T$3:$T$22,"Distribution",'HC Detail'!$Q$3:$Q$22)</f>
        <v>0</v>
      </c>
      <c r="E15" s="13" t="n">
        <f aca="false">SUMIF('Non-HC Detail'!$D$3:$D$17,"Distribution",'Non-HC Detail'!$I$3:$I$17)</f>
        <v>1100000</v>
      </c>
      <c r="F15" s="13" t="n">
        <f aca="false">D15+E15</f>
        <v>1100000</v>
      </c>
      <c r="G15" s="13" t="n">
        <f aca="false">SUMIF('HC Detail'!$T$3:$T$22,"Distribution",'HC Detail'!$P$3:$P$22)+SUMIF('Non-HC Detail'!$D$3:$D$17,"Distribution",'Non-HC Detail'!$J$3:$J$17)</f>
        <v>160000</v>
      </c>
      <c r="H15" s="13" t="n">
        <f aca="false">F15-G15</f>
        <v>940000</v>
      </c>
      <c r="I15" s="13" t="n">
        <f aca="false">SUMIF('HC Detail'!$T$3:$T$22,"Distribution",'HC Detail'!$R$3:$R$22)+SUMIF('Non-HC Detail'!$D$3:$D$17,"Distribution",'Non-HC Detail'!$L$3:$L$17)</f>
        <v>406000</v>
      </c>
    </row>
    <row r="16" customFormat="false" ht="19.5" hidden="false" customHeight="true" outlineLevel="0" collapsed="false">
      <c r="A16" s="8" t="s">
        <v>27</v>
      </c>
      <c r="B16" s="9" t="n">
        <f aca="false">COUNTIF('HC Detail'!$T$3:$T$22,"Public-to-Private")</f>
        <v>0</v>
      </c>
      <c r="C16" s="9" t="n">
        <f aca="false">COUNTIF('Non-HC Detail'!$D$3:$D$17,"Public-to-Private")</f>
        <v>2</v>
      </c>
      <c r="D16" s="10" t="n">
        <f aca="false">SUMIF('HC Detail'!$T$3:$T$22,"Public-to-Private",'HC Detail'!$Q$3:$Q$22)</f>
        <v>0</v>
      </c>
      <c r="E16" s="10" t="n">
        <f aca="false">SUMIF('Non-HC Detail'!$D$3:$D$17,"Public-to-Private",'Non-HC Detail'!$I$3:$I$17)</f>
        <v>1860000</v>
      </c>
      <c r="F16" s="10" t="n">
        <f aca="false">D16+E16</f>
        <v>1860000</v>
      </c>
      <c r="G16" s="10" t="n">
        <f aca="false">SUMIF('HC Detail'!$T$3:$T$22,"Public-to-Private",'HC Detail'!$P$3:$P$22)+SUMIF('Non-HC Detail'!$D$3:$D$17,"Public-to-Private",'Non-HC Detail'!$J$3:$J$17)</f>
        <v>180000</v>
      </c>
      <c r="H16" s="10" t="n">
        <f aca="false">F16-G16</f>
        <v>1680000</v>
      </c>
      <c r="I16" s="10" t="n">
        <f aca="false">SUMIF('HC Detail'!$T$3:$T$22,"Public-to-Private",'HC Detail'!$R$3:$R$22)+SUMIF('Non-HC Detail'!$D$3:$D$17,"Public-to-Private",'Non-HC Detail'!$L$3:$L$17)</f>
        <v>1480000</v>
      </c>
    </row>
    <row r="17" customFormat="false" ht="21.75" hidden="false" customHeight="true" outlineLevel="0" collapsed="false">
      <c r="A17" s="14" t="s">
        <v>28</v>
      </c>
      <c r="B17" s="14"/>
      <c r="C17" s="14"/>
      <c r="D17" s="15" t="n">
        <f aca="false">SUM(D10:D16)</f>
        <v>3539000</v>
      </c>
      <c r="E17" s="15" t="n">
        <f aca="false">SUM(E10:E16)</f>
        <v>20615000</v>
      </c>
      <c r="F17" s="15" t="n">
        <f aca="false">SUM(F10:F16)</f>
        <v>24154000</v>
      </c>
      <c r="G17" s="15" t="n">
        <f aca="false">SUM(G10:G16)</f>
        <v>7090115.38461538</v>
      </c>
      <c r="H17" s="15" t="n">
        <f aca="false">SUM(H10:H16)</f>
        <v>17063884.6153846</v>
      </c>
      <c r="I17" s="15" t="n">
        <f aca="false">SUM(I10:I16)</f>
        <v>9505525</v>
      </c>
    </row>
    <row r="19" customFormat="false" ht="21.75" hidden="false" customHeight="true" outlineLevel="0" collapsed="false">
      <c r="A19" s="3" t="s">
        <v>29</v>
      </c>
      <c r="B19" s="3"/>
      <c r="C19" s="3"/>
      <c r="D19" s="3"/>
      <c r="E19" s="3"/>
      <c r="F19" s="3"/>
      <c r="G19" s="3"/>
      <c r="H19" s="3"/>
      <c r="I19" s="3"/>
    </row>
    <row r="20" customFormat="false" ht="36" hidden="false" customHeight="true" outlineLevel="0" collapsed="false">
      <c r="A20" s="7" t="s">
        <v>30</v>
      </c>
      <c r="B20" s="7" t="s">
        <v>15</v>
      </c>
      <c r="C20" s="7" t="s">
        <v>16</v>
      </c>
      <c r="D20" s="7" t="s">
        <v>17</v>
      </c>
      <c r="E20" s="7" t="s">
        <v>18</v>
      </c>
      <c r="F20" s="7" t="s">
        <v>31</v>
      </c>
      <c r="G20" s="7" t="s">
        <v>32</v>
      </c>
      <c r="H20" s="7" t="s">
        <v>33</v>
      </c>
      <c r="I20" s="7" t="s">
        <v>34</v>
      </c>
    </row>
    <row r="21" customFormat="false" ht="19.5" hidden="false" customHeight="true" outlineLevel="0" collapsed="false">
      <c r="A21" s="8" t="s">
        <v>35</v>
      </c>
      <c r="B21" s="10" t="n">
        <f aca="false">SUMPRODUCT(('HC Detail'!$X$3:$X$22="Dx")*'HC Detail'!$Q$3:$Q$22)</f>
        <v>1514312.5</v>
      </c>
      <c r="C21" s="10" t="n">
        <f aca="false">SUMPRODUCT(('Non-HC Detail'!$C$3:$C$17="Dx")*'Non-HC Detail'!$I$3:$I$17)</f>
        <v>11100000</v>
      </c>
      <c r="D21" s="10" t="n">
        <f aca="false">B21+C21</f>
        <v>12614312.5</v>
      </c>
      <c r="E21" s="10" t="n">
        <f aca="false">SUMPRODUCT(('HC Detail'!$X$3:$X$22="Dx")*'HC Detail'!$P$3:$P$22)+SUMPRODUCT(('Non-HC Detail'!$C$3:$C$17="Dx")*'Non-HC Detail'!$J$3:$J$17)</f>
        <v>2911846.15384615</v>
      </c>
      <c r="F21" s="10" t="n">
        <f aca="false">D21-E21</f>
        <v>9702466.34615385</v>
      </c>
      <c r="G21" s="10" t="n">
        <f aca="false">SUMPRODUCT(('HC Detail'!$X$3:$X$22="Dx")*'HC Detail'!$R$3:$R$22)+SUMPRODUCT(('Non-HC Detail'!$C$3:$C$17="Dx")*'Non-HC Detail'!$L$3:$L$17)</f>
        <v>4983800</v>
      </c>
      <c r="H21" s="10" t="n">
        <f aca="false">SUMPRODUCT(('HC Detail'!$X$3:$X$22="Dx")*'HC Detail'!$S$3:$S$22)+SUMPRODUCT(('Non-HC Detail'!$C$3:$C$17="Dx")*'Non-HC Detail'!$M$3:$M$17)</f>
        <v>12614312.5</v>
      </c>
      <c r="I21" s="16" t="n">
        <f aca="false">IFERROR(D21/D24,"-")</f>
        <v>0.522245280284839</v>
      </c>
    </row>
    <row r="22" customFormat="false" ht="19.5" hidden="false" customHeight="true" outlineLevel="0" collapsed="false">
      <c r="A22" s="11" t="s">
        <v>36</v>
      </c>
      <c r="B22" s="13" t="n">
        <f aca="false">SUMPRODUCT(('HC Detail'!$X$3:$X$22="BH")*'HC Detail'!$Q$3:$Q$22)</f>
        <v>1169687.5</v>
      </c>
      <c r="C22" s="13" t="n">
        <f aca="false">SUMPRODUCT(('Non-HC Detail'!$C$3:$C$17="BH")*'Non-HC Detail'!$I$3:$I$17)</f>
        <v>6170000</v>
      </c>
      <c r="D22" s="13" t="n">
        <f aca="false">B22+C22</f>
        <v>7339687.5</v>
      </c>
      <c r="E22" s="13" t="n">
        <f aca="false">SUMPRODUCT(('HC Detail'!$X$3:$X$22="BH")*'HC Detail'!$P$3:$P$22)+SUMPRODUCT(('Non-HC Detail'!$C$3:$C$17="BH")*'Non-HC Detail'!$J$3:$J$17)</f>
        <v>3852423.07692308</v>
      </c>
      <c r="F22" s="13" t="n">
        <f aca="false">D22-E22</f>
        <v>3487264.42307692</v>
      </c>
      <c r="G22" s="13" t="n">
        <f aca="false">SUMPRODUCT(('HC Detail'!$X$3:$X$22="BH")*'HC Detail'!$R$3:$R$22)+SUMPRODUCT(('Non-HC Detail'!$C$3:$C$17="BH")*'Non-HC Detail'!$L$3:$L$17)</f>
        <v>2141281.25</v>
      </c>
      <c r="H22" s="13" t="n">
        <f aca="false">SUMPRODUCT(('HC Detail'!$X$3:$X$22="BH")*'HC Detail'!$S$3:$S$22)+SUMPRODUCT(('Non-HC Detail'!$C$3:$C$17="BH")*'Non-HC Detail'!$M$3:$M$17)</f>
        <v>7339687.5</v>
      </c>
      <c r="I22" s="17" t="n">
        <f aca="false">IFERROR(D22/D24,"-")</f>
        <v>0.303870476939637</v>
      </c>
    </row>
    <row r="23" customFormat="false" ht="19.5" hidden="false" customHeight="true" outlineLevel="0" collapsed="false">
      <c r="A23" s="8" t="s">
        <v>37</v>
      </c>
      <c r="B23" s="10" t="n">
        <f aca="false">SUMPRODUCT(('HC Detail'!$X$3:$X$22="GY")*'HC Detail'!$Q$3:$Q$22)</f>
        <v>855000</v>
      </c>
      <c r="C23" s="10" t="n">
        <f aca="false">SUMPRODUCT(('Non-HC Detail'!$C$3:$C$17="GY")*'Non-HC Detail'!$I$3:$I$17)</f>
        <v>3345000</v>
      </c>
      <c r="D23" s="10" t="n">
        <f aca="false">B23+C23</f>
        <v>4200000</v>
      </c>
      <c r="E23" s="10" t="n">
        <f aca="false">SUMPRODUCT(('HC Detail'!$X$3:$X$22="GY")*'HC Detail'!$P$3:$P$22)+SUMPRODUCT(('Non-HC Detail'!$C$3:$C$17="GY")*'Non-HC Detail'!$J$3:$J$17)</f>
        <v>325846.153846154</v>
      </c>
      <c r="F23" s="10" t="n">
        <f aca="false">D23-E23</f>
        <v>3874153.84615385</v>
      </c>
      <c r="G23" s="10" t="n">
        <f aca="false">SUMPRODUCT(('HC Detail'!$X$3:$X$22="GY")*'HC Detail'!$R$3:$R$22)+SUMPRODUCT(('Non-HC Detail'!$C$3:$C$17="GY")*'Non-HC Detail'!$L$3:$L$17)</f>
        <v>2380443.75</v>
      </c>
      <c r="H23" s="10" t="n">
        <f aca="false">SUMPRODUCT(('HC Detail'!$X$3:$X$22="GY")*'HC Detail'!$S$3:$S$22)+SUMPRODUCT(('Non-HC Detail'!$C$3:$C$17="GY")*'Non-HC Detail'!$M$3:$M$17)</f>
        <v>4200000</v>
      </c>
      <c r="I23" s="16" t="n">
        <f aca="false">IFERROR(D23/D24,"-")</f>
        <v>0.173884242775524</v>
      </c>
    </row>
    <row r="24" customFormat="false" ht="21.75" hidden="false" customHeight="true" outlineLevel="0" collapsed="false">
      <c r="A24" s="18" t="s">
        <v>28</v>
      </c>
      <c r="B24" s="15" t="n">
        <f aca="false">SUM(B21:B23)</f>
        <v>3539000</v>
      </c>
      <c r="C24" s="15" t="n">
        <f aca="false">SUM(C21:C23)</f>
        <v>20615000</v>
      </c>
      <c r="D24" s="15" t="n">
        <f aca="false">SUM(D21:D23)</f>
        <v>24154000</v>
      </c>
      <c r="E24" s="15" t="n">
        <f aca="false">SUM(E21:E23)</f>
        <v>7090115.38461539</v>
      </c>
      <c r="F24" s="15" t="n">
        <f aca="false">SUM(F21:F23)</f>
        <v>17063884.6153846</v>
      </c>
      <c r="G24" s="15" t="n">
        <f aca="false">SUM(G21:G23)</f>
        <v>9505525</v>
      </c>
      <c r="H24" s="15" t="n">
        <f aca="false">SUM(H21:H23)</f>
        <v>24154000</v>
      </c>
      <c r="I24" s="19" t="s">
        <v>38</v>
      </c>
    </row>
    <row r="26" customFormat="false" ht="21.75" hidden="false" customHeight="true" outlineLevel="0" collapsed="false">
      <c r="A26" s="3" t="s">
        <v>39</v>
      </c>
      <c r="B26" s="3"/>
      <c r="C26" s="3"/>
      <c r="D26" s="3"/>
      <c r="E26" s="3"/>
      <c r="F26" s="3"/>
      <c r="G26" s="3"/>
      <c r="H26" s="3"/>
      <c r="I26" s="3"/>
    </row>
    <row r="27" customFormat="false" ht="36" hidden="false" customHeight="true" outlineLevel="0" collapsed="false">
      <c r="A27" s="7" t="s">
        <v>40</v>
      </c>
      <c r="B27" s="7" t="s">
        <v>41</v>
      </c>
      <c r="C27" s="7" t="s">
        <v>42</v>
      </c>
      <c r="D27" s="7" t="s">
        <v>43</v>
      </c>
      <c r="E27" s="7" t="s">
        <v>44</v>
      </c>
      <c r="F27" s="7" t="s">
        <v>45</v>
      </c>
      <c r="G27" s="7" t="s">
        <v>46</v>
      </c>
      <c r="H27" s="7" t="s">
        <v>47</v>
      </c>
      <c r="I27" s="7" t="s">
        <v>48</v>
      </c>
    </row>
    <row r="28" customFormat="false" ht="19.5" hidden="false" customHeight="true" outlineLevel="0" collapsed="false">
      <c r="A28" s="8" t="s">
        <v>49</v>
      </c>
      <c r="B28" s="10" t="n">
        <f aca="false">SUMPRODUCT(('HC Detail'!$U$3:$U$22="COGS")*'HC Detail'!$R$3:$R$22)+SUMPRODUCT(('Non-HC Detail'!$V$3:$V$17="COGS")*'Non-HC Detail'!$L$3:$L$17)</f>
        <v>4176000</v>
      </c>
      <c r="C28" s="10" t="n">
        <f aca="false">D28*0.9</f>
        <v>11092500</v>
      </c>
      <c r="D28" s="10" t="n">
        <f aca="false">SUMPRODUCT(('HC Detail'!$U$3:$U$22="COGS")*'HC Detail'!$S$3:$S$22)+SUMPRODUCT(('Non-HC Detail'!$V$3:$V$17="COGS")*'Non-HC Detail'!$M$3:$M$17)</f>
        <v>12325000</v>
      </c>
      <c r="E28" s="10" t="n">
        <f aca="false">B28</f>
        <v>4176000</v>
      </c>
      <c r="F28" s="10" t="n">
        <f aca="false">E28+C28</f>
        <v>15268500</v>
      </c>
      <c r="G28" s="10" t="n">
        <f aca="false">F28+D28</f>
        <v>27593500</v>
      </c>
      <c r="H28" s="10" t="n">
        <f aca="false">SUMPRODUCT(('HC Detail'!$U$3:$U$22="COGS")*'HC Detail'!$P$3:$P$22)+SUMPRODUCT(('Non-HC Detail'!$V$3:$V$17="COGS")*'Non-HC Detail'!$J$3:$J$17)</f>
        <v>3190000</v>
      </c>
      <c r="I28" s="20" t="n">
        <f aca="false">IFERROR(H28/D28,"-")</f>
        <v>0.258823529411765</v>
      </c>
    </row>
    <row r="29" customFormat="false" ht="19.5" hidden="false" customHeight="true" outlineLevel="0" collapsed="false">
      <c r="A29" s="11" t="s">
        <v>50</v>
      </c>
      <c r="B29" s="13" t="n">
        <f aca="false">SUMPRODUCT(('HC Detail'!$U$3:$U$22="SGA")*'HC Detail'!$R$3:$R$22)+SUMPRODUCT(('Non-HC Detail'!$V$3:$V$17="SGA")*'Non-HC Detail'!$L$3:$L$17)</f>
        <v>4209525</v>
      </c>
      <c r="C29" s="13" t="n">
        <f aca="false">D29*0.9</f>
        <v>8126100</v>
      </c>
      <c r="D29" s="13" t="n">
        <f aca="false">SUMPRODUCT(('HC Detail'!$U$3:$U$22="SGA")*'HC Detail'!$S$3:$S$22)+SUMPRODUCT(('Non-HC Detail'!$V$3:$V$17="SGA")*'Non-HC Detail'!$M$3:$M$17)</f>
        <v>9029000</v>
      </c>
      <c r="E29" s="13" t="n">
        <f aca="false">B29</f>
        <v>4209525</v>
      </c>
      <c r="F29" s="13" t="n">
        <f aca="false">E29+C29</f>
        <v>12335625</v>
      </c>
      <c r="G29" s="13" t="n">
        <f aca="false">F29+D29</f>
        <v>21364625</v>
      </c>
      <c r="H29" s="13" t="n">
        <f aca="false">SUMPRODUCT(('HC Detail'!$U$3:$U$22="SGA")*'HC Detail'!$P$3:$P$22)+SUMPRODUCT(('Non-HC Detail'!$V$3:$V$17="SGA")*'Non-HC Detail'!$J$3:$J$17)</f>
        <v>3700115.38461538</v>
      </c>
      <c r="I29" s="21" t="n">
        <f aca="false">IFERROR(H29/D29,"-")</f>
        <v>0.409803453828263</v>
      </c>
    </row>
    <row r="30" customFormat="false" ht="19.5" hidden="false" customHeight="true" outlineLevel="0" collapsed="false">
      <c r="A30" s="8" t="s">
        <v>51</v>
      </c>
      <c r="B30" s="10" t="n">
        <f aca="false">SUMPRODUCT(('HC Detail'!$U$3:$U$22="RD")*'HC Detail'!$R$3:$R$22)+SUMPRODUCT(('Non-HC Detail'!$V$3:$V$17="RD")*'Non-HC Detail'!$L$3:$L$17)</f>
        <v>1120000</v>
      </c>
      <c r="C30" s="10" t="n">
        <f aca="false">D30*0.9</f>
        <v>2520000</v>
      </c>
      <c r="D30" s="10" t="n">
        <f aca="false">SUMPRODUCT(('HC Detail'!$U$3:$U$22="RD")*'HC Detail'!$S$3:$S$22)+SUMPRODUCT(('Non-HC Detail'!$V$3:$V$17="RD")*'Non-HC Detail'!$M$3:$M$17)</f>
        <v>2800000</v>
      </c>
      <c r="E30" s="10" t="n">
        <f aca="false">B30</f>
        <v>1120000</v>
      </c>
      <c r="F30" s="10" t="n">
        <f aca="false">E30+C30</f>
        <v>3640000</v>
      </c>
      <c r="G30" s="10" t="n">
        <f aca="false">F30+D30</f>
        <v>6440000</v>
      </c>
      <c r="H30" s="10" t="n">
        <f aca="false">SUMPRODUCT(('HC Detail'!$U$3:$U$22="RD")*'HC Detail'!$P$3:$P$22)+SUMPRODUCT(('Non-HC Detail'!$V$3:$V$17="RD")*'Non-HC Detail'!$J$3:$J$17)</f>
        <v>200000</v>
      </c>
      <c r="I30" s="20" t="n">
        <f aca="false">IFERROR(H30/D30,"-")</f>
        <v>0.0714285714285714</v>
      </c>
    </row>
    <row r="31" customFormat="false" ht="21.75" hidden="false" customHeight="true" outlineLevel="0" collapsed="false">
      <c r="A31" s="18" t="s">
        <v>28</v>
      </c>
      <c r="B31" s="15" t="n">
        <f aca="false">SUM(B28:B30)</f>
        <v>9505525</v>
      </c>
      <c r="C31" s="15" t="n">
        <f aca="false">SUM(C28:C30)</f>
        <v>21738600</v>
      </c>
      <c r="D31" s="15" t="n">
        <f aca="false">SUM(D28:D30)</f>
        <v>24154000</v>
      </c>
      <c r="E31" s="15" t="n">
        <f aca="false">SUM(E28:E30)</f>
        <v>9505525</v>
      </c>
      <c r="F31" s="15" t="n">
        <f aca="false">SUM(F28:F30)</f>
        <v>31244125</v>
      </c>
      <c r="G31" s="15" t="n">
        <f aca="false">SUM(G28:G30)</f>
        <v>55398125</v>
      </c>
      <c r="H31" s="15" t="n">
        <f aca="false">SUM(H28:H30)</f>
        <v>7090115.38461538</v>
      </c>
    </row>
  </sheetData>
  <mergeCells count="23">
    <mergeCell ref="A1:P1"/>
    <mergeCell ref="A2:P2"/>
    <mergeCell ref="A4:P4"/>
    <mergeCell ref="A5:B5"/>
    <mergeCell ref="C5:D5"/>
    <mergeCell ref="E5:F5"/>
    <mergeCell ref="G5:H5"/>
    <mergeCell ref="I5:J5"/>
    <mergeCell ref="K5:L5"/>
    <mergeCell ref="M5:N5"/>
    <mergeCell ref="O5:P5"/>
    <mergeCell ref="A6:B6"/>
    <mergeCell ref="C6:D6"/>
    <mergeCell ref="E6:F6"/>
    <mergeCell ref="G6:H6"/>
    <mergeCell ref="I6:J6"/>
    <mergeCell ref="K6:L6"/>
    <mergeCell ref="M6:N6"/>
    <mergeCell ref="O6:P6"/>
    <mergeCell ref="A8:I8"/>
    <mergeCell ref="A17:C17"/>
    <mergeCell ref="A19:I19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3" min="10" style="0" width="13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1.75" hidden="false" customHeight="true" outlineLevel="0" collapsed="false">
      <c r="A3" s="3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54</v>
      </c>
      <c r="B4" s="4"/>
      <c r="C4" s="4" t="s">
        <v>55</v>
      </c>
      <c r="D4" s="4"/>
      <c r="E4" s="4" t="s">
        <v>56</v>
      </c>
      <c r="F4" s="4"/>
      <c r="G4" s="4" t="s">
        <v>7</v>
      </c>
      <c r="H4" s="4"/>
      <c r="I4" s="4" t="s">
        <v>8</v>
      </c>
      <c r="J4" s="4"/>
      <c r="K4" s="4" t="s">
        <v>57</v>
      </c>
      <c r="L4" s="4"/>
      <c r="M4" s="4" t="s">
        <v>58</v>
      </c>
      <c r="N4" s="4"/>
    </row>
    <row r="5" customFormat="false" ht="31.5" hidden="false" customHeight="true" outlineLevel="0" collapsed="false">
      <c r="A5" s="6" t="n">
        <f aca="false">COUNTIF('HC Detail'!$T$3:$T$22,"Manufacturing")+COUNTIF('Non-HC Detail'!$D$3:$D$17,"Manufacturing")</f>
        <v>2</v>
      </c>
      <c r="B5" s="6"/>
      <c r="C5" s="5" t="n">
        <f aca="false">SUMIF('Non-HC Detail'!$D$3:$D$17,"Manufacturing",'Non-HC Detail'!$I$3:$I$17)</f>
        <v>6050000</v>
      </c>
      <c r="D5" s="5"/>
      <c r="E5" s="5" t="n">
        <f aca="false">SUMIF('Non-HC Detail'!$D$3:$D$17,"Manufacturing",'Non-HC Detail'!$J$3:$J$17)</f>
        <v>2750000</v>
      </c>
      <c r="F5" s="5"/>
      <c r="G5" s="5" t="n">
        <f aca="false">SUMIF('Non-HC Detail'!$D$3:$D$17,"Manufacturing",'Non-HC Detail'!$I$3:$I$17)-(SUMIF('Non-HC Detail'!$D$3:$D$17,"Manufacturing",'Non-HC Detail'!$J$3:$J$17))</f>
        <v>3300000</v>
      </c>
      <c r="H5" s="5"/>
      <c r="I5" s="5" t="n">
        <f aca="false">SUMIF('Non-HC Detail'!$D$3:$D$17,"Manufacturing",'Non-HC Detail'!$L$3:$L$17)</f>
        <v>1445000</v>
      </c>
      <c r="J5" s="5"/>
      <c r="K5" s="5" t="n">
        <f aca="false">SUMIF('Non-HC Detail'!$D$3:$D$17,"Manufacturing",'Non-HC Detail'!$I$3:$I$17)</f>
        <v>6050000</v>
      </c>
      <c r="L5" s="5"/>
      <c r="M5" s="5" t="n">
        <f aca="false">SUMIF('Non-HC Detail'!$D$3:$D$17,"Manufacturing",'Non-HC Detail'!$I$3:$I$17)*1.15</f>
        <v>6957500</v>
      </c>
      <c r="N5" s="5"/>
    </row>
    <row r="7" customFormat="false" ht="21.75" hidden="false" customHeight="true" outlineLevel="0" collapsed="false">
      <c r="A7" s="22" t="s">
        <v>59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customFormat="false" ht="39.75" hidden="false" customHeight="true" outlineLevel="0" collapsed="false">
      <c r="A8" s="7" t="s">
        <v>60</v>
      </c>
      <c r="B8" s="7" t="s">
        <v>61</v>
      </c>
      <c r="C8" s="7" t="s">
        <v>30</v>
      </c>
      <c r="D8" s="7" t="s">
        <v>62</v>
      </c>
      <c r="E8" s="7" t="s">
        <v>40</v>
      </c>
      <c r="F8" s="7" t="s">
        <v>63</v>
      </c>
      <c r="G8" s="7" t="s">
        <v>55</v>
      </c>
      <c r="H8" s="7" t="s">
        <v>64</v>
      </c>
      <c r="I8" s="7" t="s">
        <v>7</v>
      </c>
      <c r="J8" s="7" t="s">
        <v>20</v>
      </c>
      <c r="K8" s="7" t="s">
        <v>33</v>
      </c>
      <c r="L8" s="7" t="s">
        <v>58</v>
      </c>
      <c r="M8" s="7" t="s">
        <v>65</v>
      </c>
      <c r="N8" s="7" t="s">
        <v>66</v>
      </c>
    </row>
    <row r="9" customFormat="false" ht="18" hidden="false" customHeight="true" outlineLevel="0" collapsed="false">
      <c r="A9" s="23" t="s">
        <v>67</v>
      </c>
      <c r="B9" s="23" t="s">
        <v>68</v>
      </c>
      <c r="C9" s="23" t="s">
        <v>69</v>
      </c>
      <c r="D9" s="23" t="s">
        <v>70</v>
      </c>
      <c r="E9" s="23" t="s">
        <v>49</v>
      </c>
      <c r="F9" s="24" t="s">
        <v>71</v>
      </c>
      <c r="G9" s="25" t="n">
        <v>4200000</v>
      </c>
      <c r="H9" s="25" t="n">
        <v>1800000</v>
      </c>
      <c r="I9" s="25" t="n">
        <v>2400000</v>
      </c>
      <c r="J9" s="25" t="n">
        <v>1260000</v>
      </c>
      <c r="K9" s="25" t="n">
        <v>4200000</v>
      </c>
      <c r="L9" s="25" t="n">
        <v>4830000</v>
      </c>
      <c r="M9" s="25" t="n">
        <v>3570000</v>
      </c>
      <c r="N9" s="23"/>
    </row>
    <row r="10" customFormat="false" ht="18" hidden="false" customHeight="true" outlineLevel="0" collapsed="false">
      <c r="A10" s="26" t="s">
        <v>72</v>
      </c>
      <c r="B10" s="26" t="s">
        <v>73</v>
      </c>
      <c r="C10" s="26" t="s">
        <v>74</v>
      </c>
      <c r="D10" s="26" t="s">
        <v>70</v>
      </c>
      <c r="E10" s="26" t="s">
        <v>49</v>
      </c>
      <c r="F10" s="27" t="s">
        <v>75</v>
      </c>
      <c r="G10" s="28" t="n">
        <v>1850000</v>
      </c>
      <c r="H10" s="28" t="n">
        <v>950000</v>
      </c>
      <c r="I10" s="28" t="n">
        <v>900000</v>
      </c>
      <c r="J10" s="28" t="n">
        <v>185000</v>
      </c>
      <c r="K10" s="28" t="n">
        <v>1850000</v>
      </c>
      <c r="L10" s="28" t="n">
        <v>2127500</v>
      </c>
      <c r="M10" s="28" t="n">
        <v>1572500</v>
      </c>
      <c r="N10" s="26"/>
    </row>
    <row r="11" customFormat="false" ht="19.5" hidden="false" customHeight="true" outlineLevel="0" collapsed="false">
      <c r="A11" s="29" t="s">
        <v>76</v>
      </c>
      <c r="B11" s="29"/>
      <c r="C11" s="29"/>
      <c r="D11" s="29"/>
      <c r="E11" s="29"/>
      <c r="F11" s="29"/>
      <c r="G11" s="30" t="n">
        <f aca="false">SUM(G9:G10)</f>
        <v>6050000</v>
      </c>
      <c r="H11" s="30" t="n">
        <f aca="false">SUM(H9:H10)</f>
        <v>2750000</v>
      </c>
      <c r="I11" s="30" t="n">
        <f aca="false">SUM(I9:I10)</f>
        <v>3300000</v>
      </c>
      <c r="J11" s="30" t="n">
        <f aca="false">SUM(J9:J10)</f>
        <v>1445000</v>
      </c>
      <c r="K11" s="30" t="n">
        <f aca="false">SUM(K9:K10)</f>
        <v>6050000</v>
      </c>
      <c r="L11" s="30" t="n">
        <f aca="false">SUM(L9:L10)</f>
        <v>6957500</v>
      </c>
      <c r="M11" s="30" t="n">
        <f aca="false">SUM(M9:M10)</f>
        <v>5142500</v>
      </c>
    </row>
    <row r="13" customFormat="false" ht="21.75" hidden="false" customHeight="true" outlineLevel="0" collapsed="false">
      <c r="A13" s="31" t="s">
        <v>77</v>
      </c>
      <c r="B13" s="31"/>
      <c r="C13" s="31"/>
      <c r="D13" s="31"/>
      <c r="E13" s="31"/>
      <c r="F13" s="31"/>
      <c r="G13" s="31"/>
      <c r="H13" s="31"/>
    </row>
    <row r="14" customFormat="false" ht="36" hidden="false" customHeight="true" outlineLevel="0" collapsed="false">
      <c r="A14" s="32" t="s">
        <v>78</v>
      </c>
      <c r="B14" s="32" t="s">
        <v>79</v>
      </c>
      <c r="C14" s="32" t="s">
        <v>80</v>
      </c>
      <c r="D14" s="32" t="s">
        <v>81</v>
      </c>
      <c r="E14" s="32" t="s">
        <v>82</v>
      </c>
      <c r="F14" s="32" t="s">
        <v>18</v>
      </c>
      <c r="G14" s="32" t="s">
        <v>19</v>
      </c>
      <c r="H14" s="32" t="s">
        <v>83</v>
      </c>
    </row>
    <row r="15" customFormat="false" ht="19.5" hidden="false" customHeight="true" outlineLevel="0" collapsed="false">
      <c r="A15" s="33" t="s">
        <v>84</v>
      </c>
      <c r="B15" s="33" t="s">
        <v>85</v>
      </c>
      <c r="C15" s="34" t="n">
        <v>6957499</v>
      </c>
      <c r="D15" s="34" t="n">
        <f aca="false">C15-6050000</f>
        <v>907499</v>
      </c>
      <c r="E15" s="35" t="n">
        <f aca="false">IFERROR(C15/6050000-1,"-")</f>
        <v>0.149999834710744</v>
      </c>
      <c r="F15" s="34" t="n">
        <v>2475000</v>
      </c>
      <c r="G15" s="34" t="n">
        <f aca="false">C15-F15</f>
        <v>4482499</v>
      </c>
      <c r="H15" s="33" t="s">
        <v>86</v>
      </c>
    </row>
    <row r="16" customFormat="false" ht="19.5" hidden="false" customHeight="true" outlineLevel="0" collapsed="false">
      <c r="A16" s="36" t="s">
        <v>87</v>
      </c>
      <c r="B16" s="36" t="s">
        <v>88</v>
      </c>
      <c r="C16" s="37" t="n">
        <v>6050000</v>
      </c>
      <c r="D16" s="37" t="n">
        <f aca="false">C16-6050000</f>
        <v>0</v>
      </c>
      <c r="E16" s="38" t="n">
        <f aca="false">IFERROR(C16/6050000-1,"-")</f>
        <v>0</v>
      </c>
      <c r="F16" s="37" t="n">
        <v>2750000</v>
      </c>
      <c r="G16" s="37" t="n">
        <f aca="false">C16-F16</f>
        <v>3300000</v>
      </c>
      <c r="H16" s="36" t="s">
        <v>89</v>
      </c>
    </row>
    <row r="17" customFormat="false" ht="19.5" hidden="false" customHeight="true" outlineLevel="0" collapsed="false">
      <c r="A17" s="39" t="s">
        <v>90</v>
      </c>
      <c r="B17" s="39" t="s">
        <v>91</v>
      </c>
      <c r="C17" s="40" t="n">
        <v>4537500</v>
      </c>
      <c r="D17" s="40" t="n">
        <f aca="false">C17-6050000</f>
        <v>-1512500</v>
      </c>
      <c r="E17" s="41" t="n">
        <f aca="false">IFERROR(C17/6050000-1,"-")</f>
        <v>-0.25</v>
      </c>
      <c r="F17" s="40" t="n">
        <v>3025000</v>
      </c>
      <c r="G17" s="40" t="n">
        <f aca="false">C17-F17</f>
        <v>1512500</v>
      </c>
      <c r="H17" s="39" t="s">
        <v>92</v>
      </c>
    </row>
  </sheetData>
  <mergeCells count="19">
    <mergeCell ref="A1:N1"/>
    <mergeCell ref="A3:N3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7:N7"/>
    <mergeCell ref="A11:F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3" min="10" style="0" width="13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1.75" hidden="false" customHeight="true" outlineLevel="0" collapsed="false">
      <c r="A3" s="3" t="s">
        <v>94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54</v>
      </c>
      <c r="B4" s="4"/>
      <c r="C4" s="4" t="s">
        <v>55</v>
      </c>
      <c r="D4" s="4"/>
      <c r="E4" s="4" t="s">
        <v>56</v>
      </c>
      <c r="F4" s="4"/>
      <c r="G4" s="4" t="s">
        <v>7</v>
      </c>
      <c r="H4" s="4"/>
      <c r="I4" s="4" t="s">
        <v>8</v>
      </c>
      <c r="J4" s="4"/>
      <c r="K4" s="4" t="s">
        <v>57</v>
      </c>
      <c r="L4" s="4"/>
      <c r="M4" s="4" t="s">
        <v>58</v>
      </c>
      <c r="N4" s="4"/>
    </row>
    <row r="5" customFormat="false" ht="31.5" hidden="false" customHeight="true" outlineLevel="0" collapsed="false">
      <c r="A5" s="6" t="n">
        <f aca="false">COUNTIF('HC Detail'!$T$3:$T$22,"G&amp;A / HC")+COUNTIF('Non-HC Detail'!$D$3:$D$17,"G&amp;A / HC")</f>
        <v>21</v>
      </c>
      <c r="B5" s="6"/>
      <c r="C5" s="5" t="n">
        <f aca="false">SUMIF('HC Detail'!$T$3:$T$22,"G&amp;A / HC",'HC Detail'!$Q$3:$Q$22)+SUMIF('Non-HC Detail'!$D$3:$D$17,"G&amp;A / HC",'Non-HC Detail'!$I$3:$I$17)</f>
        <v>4019000</v>
      </c>
      <c r="D5" s="5"/>
      <c r="E5" s="5" t="n">
        <f aca="false">SUMIF('HC Detail'!$T$3:$T$22,"G&amp;A / HC",'HC Detail'!$P$3:$P$22)+SUMIF('Non-HC Detail'!$D$3:$D$17,"G&amp;A / HC",'Non-HC Detail'!$J$3:$J$17)</f>
        <v>1095115.38461538</v>
      </c>
      <c r="F5" s="5"/>
      <c r="G5" s="5" t="n">
        <f aca="false">SUMIF('HC Detail'!$T$3:$T$22,"G&amp;A / HC",'HC Detail'!$Q$3:$Q$22)+SUMIF('Non-HC Detail'!$D$3:$D$17,"G&amp;A / HC",'Non-HC Detail'!$I$3:$I$17)-(SUMIF('HC Detail'!$T$3:$T$22,"G&amp;A / HC",'HC Detail'!$P$3:$P$22)+SUMIF('Non-HC Detail'!$D$3:$D$17,"G&amp;A / HC",'Non-HC Detail'!$J$3:$J$17))</f>
        <v>2923884.61538462</v>
      </c>
      <c r="H5" s="5"/>
      <c r="I5" s="5" t="n">
        <f aca="false">SUMIF('HC Detail'!$T$3:$T$22,"G&amp;A / HC",'HC Detail'!$R$3:$R$22)+SUMIF('Non-HC Detail'!$D$3:$D$17,"G&amp;A / HC",'Non-HC Detail'!$L$3:$L$17)</f>
        <v>1752525</v>
      </c>
      <c r="J5" s="5"/>
      <c r="K5" s="5" t="n">
        <f aca="false">SUMIF('HC Detail'!$T$3:$T$22,"G&amp;A / HC",'HC Detail'!$Q$3:$Q$22)+SUMIF('Non-HC Detail'!$D$3:$D$17,"G&amp;A / HC",'Non-HC Detail'!$I$3:$I$17)</f>
        <v>4019000</v>
      </c>
      <c r="L5" s="5"/>
      <c r="M5" s="5" t="n">
        <f aca="false">SUMIF('HC Detail'!$T$3:$T$22,"G&amp;A / HC",'HC Detail'!$Q$3:$Q$22)+SUMIF('Non-HC Detail'!$D$3:$D$17,"G&amp;A / HC",'Non-HC Detail'!$I$3:$I$17)*1.15</f>
        <v>4091000</v>
      </c>
      <c r="N5" s="5"/>
    </row>
    <row r="7" customFormat="false" ht="21.75" hidden="false" customHeight="true" outlineLevel="0" collapsed="false">
      <c r="A7" s="22" t="s">
        <v>95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customFormat="false" ht="39.75" hidden="false" customHeight="true" outlineLevel="0" collapsed="false">
      <c r="A8" s="7" t="s">
        <v>60</v>
      </c>
      <c r="B8" s="7" t="s">
        <v>61</v>
      </c>
      <c r="C8" s="7" t="s">
        <v>30</v>
      </c>
      <c r="D8" s="7" t="s">
        <v>62</v>
      </c>
      <c r="E8" s="7" t="s">
        <v>40</v>
      </c>
      <c r="F8" s="7" t="s">
        <v>63</v>
      </c>
      <c r="G8" s="7" t="s">
        <v>55</v>
      </c>
      <c r="H8" s="7" t="s">
        <v>64</v>
      </c>
      <c r="I8" s="7" t="s">
        <v>7</v>
      </c>
      <c r="J8" s="7" t="s">
        <v>20</v>
      </c>
      <c r="K8" s="7" t="s">
        <v>33</v>
      </c>
      <c r="L8" s="7" t="s">
        <v>58</v>
      </c>
      <c r="M8" s="7" t="s">
        <v>65</v>
      </c>
      <c r="N8" s="7" t="s">
        <v>66</v>
      </c>
    </row>
    <row r="9" customFormat="false" ht="18" hidden="false" customHeight="true" outlineLevel="0" collapsed="false">
      <c r="A9" s="23" t="s">
        <v>96</v>
      </c>
      <c r="B9" s="23" t="s">
        <v>97</v>
      </c>
      <c r="C9" s="23" t="s">
        <v>69</v>
      </c>
      <c r="D9" s="23" t="s">
        <v>98</v>
      </c>
      <c r="E9" s="23" t="s">
        <v>50</v>
      </c>
      <c r="F9" s="24" t="s">
        <v>71</v>
      </c>
      <c r="G9" s="25" t="n">
        <v>320000</v>
      </c>
      <c r="H9" s="25" t="n">
        <v>45000</v>
      </c>
      <c r="I9" s="25" t="n">
        <v>275000</v>
      </c>
      <c r="J9" s="25" t="n">
        <v>160000</v>
      </c>
      <c r="K9" s="25" t="n">
        <v>320000</v>
      </c>
      <c r="L9" s="25" t="n">
        <v>368000</v>
      </c>
      <c r="M9" s="25" t="n">
        <v>272000</v>
      </c>
      <c r="N9" s="23"/>
    </row>
    <row r="10" customFormat="false" ht="18" hidden="false" customHeight="true" outlineLevel="0" collapsed="false">
      <c r="A10" s="26" t="s">
        <v>99</v>
      </c>
      <c r="B10" s="26" t="s">
        <v>100</v>
      </c>
      <c r="C10" s="26" t="s">
        <v>69</v>
      </c>
      <c r="D10" s="26" t="s">
        <v>101</v>
      </c>
      <c r="E10" s="26" t="s">
        <v>50</v>
      </c>
      <c r="F10" s="24" t="s">
        <v>71</v>
      </c>
      <c r="G10" s="28" t="n">
        <v>385000</v>
      </c>
      <c r="H10" s="28" t="n">
        <v>65000</v>
      </c>
      <c r="I10" s="28" t="n">
        <v>320000</v>
      </c>
      <c r="J10" s="28" t="n">
        <v>154000</v>
      </c>
      <c r="K10" s="28" t="n">
        <v>385000</v>
      </c>
      <c r="L10" s="28" t="n">
        <v>442749</v>
      </c>
      <c r="M10" s="28" t="n">
        <v>327250</v>
      </c>
      <c r="N10" s="26"/>
    </row>
    <row r="11" customFormat="false" ht="18" hidden="false" customHeight="true" outlineLevel="0" collapsed="false">
      <c r="A11" s="23" t="s">
        <v>102</v>
      </c>
      <c r="B11" s="23" t="s">
        <v>103</v>
      </c>
      <c r="C11" s="23" t="s">
        <v>74</v>
      </c>
      <c r="D11" s="23" t="s">
        <v>104</v>
      </c>
      <c r="E11" s="23" t="s">
        <v>50</v>
      </c>
      <c r="F11" s="24" t="s">
        <v>71</v>
      </c>
      <c r="G11" s="25" t="n">
        <v>480000</v>
      </c>
      <c r="H11" s="25" t="n">
        <v>60000</v>
      </c>
      <c r="I11" s="25" t="n">
        <v>420000</v>
      </c>
      <c r="J11" s="25" t="n">
        <v>240000</v>
      </c>
      <c r="K11" s="25" t="n">
        <v>480000</v>
      </c>
      <c r="L11" s="25" t="n">
        <v>552000</v>
      </c>
      <c r="M11" s="25" t="n">
        <v>408000</v>
      </c>
      <c r="N11" s="23"/>
    </row>
    <row r="12" customFormat="false" ht="18" hidden="false" customHeight="true" outlineLevel="0" collapsed="false">
      <c r="A12" s="26" t="s">
        <v>105</v>
      </c>
      <c r="B12" s="26" t="s">
        <v>106</v>
      </c>
      <c r="C12" s="26" t="s">
        <v>74</v>
      </c>
      <c r="D12" s="26" t="s">
        <v>70</v>
      </c>
      <c r="E12" s="26" t="s">
        <v>50</v>
      </c>
      <c r="F12" s="27" t="s">
        <v>75</v>
      </c>
      <c r="G12" s="28" t="n">
        <v>275000</v>
      </c>
      <c r="H12" s="28" t="n">
        <v>35000</v>
      </c>
      <c r="I12" s="28" t="n">
        <v>240000</v>
      </c>
      <c r="J12" s="28" t="n">
        <v>55000</v>
      </c>
      <c r="K12" s="28" t="n">
        <v>275000</v>
      </c>
      <c r="L12" s="28" t="n">
        <v>316250</v>
      </c>
      <c r="M12" s="28" t="n">
        <v>233750</v>
      </c>
      <c r="N12" s="26"/>
    </row>
    <row r="13" customFormat="false" ht="18" hidden="false" customHeight="true" outlineLevel="0" collapsed="false">
      <c r="A13" s="23" t="s">
        <v>107</v>
      </c>
      <c r="B13" s="23" t="s">
        <v>108</v>
      </c>
      <c r="C13" s="23" t="s">
        <v>109</v>
      </c>
      <c r="D13" s="23" t="s">
        <v>110</v>
      </c>
      <c r="E13" s="23" t="s">
        <v>50</v>
      </c>
      <c r="F13" s="24" t="s">
        <v>71</v>
      </c>
      <c r="G13" s="25" t="n">
        <v>185000</v>
      </c>
      <c r="H13" s="25" t="n">
        <v>25000</v>
      </c>
      <c r="I13" s="25" t="n">
        <v>160000</v>
      </c>
      <c r="J13" s="25" t="n">
        <v>92500</v>
      </c>
      <c r="K13" s="25" t="n">
        <v>185000</v>
      </c>
      <c r="L13" s="25" t="n">
        <v>212749</v>
      </c>
      <c r="M13" s="25" t="n">
        <v>157250</v>
      </c>
      <c r="N13" s="23"/>
    </row>
    <row r="14" customFormat="false" ht="18" hidden="false" customHeight="true" outlineLevel="0" collapsed="false">
      <c r="A14" s="26" t="s">
        <v>111</v>
      </c>
      <c r="B14" s="26" t="s">
        <v>112</v>
      </c>
      <c r="C14" s="26" t="s">
        <v>109</v>
      </c>
      <c r="D14" s="26" t="s">
        <v>104</v>
      </c>
      <c r="E14" s="26" t="s">
        <v>50</v>
      </c>
      <c r="F14" s="27" t="s">
        <v>75</v>
      </c>
      <c r="G14" s="28" t="n">
        <v>340000</v>
      </c>
      <c r="H14" s="28" t="n">
        <v>50000</v>
      </c>
      <c r="I14" s="28" t="n">
        <v>290000</v>
      </c>
      <c r="J14" s="28" t="n">
        <v>68000</v>
      </c>
      <c r="K14" s="28" t="n">
        <v>340000</v>
      </c>
      <c r="L14" s="28" t="n">
        <v>390999</v>
      </c>
      <c r="M14" s="28" t="n">
        <v>289000</v>
      </c>
      <c r="N14" s="26"/>
    </row>
    <row r="15" customFormat="false" ht="18" hidden="false" customHeight="true" outlineLevel="0" collapsed="false">
      <c r="A15" s="23" t="s">
        <v>113</v>
      </c>
      <c r="B15" s="23" t="s">
        <v>114</v>
      </c>
      <c r="C15" s="23" t="s">
        <v>69</v>
      </c>
      <c r="D15" s="23" t="s">
        <v>115</v>
      </c>
      <c r="E15" s="23" t="s">
        <v>50</v>
      </c>
      <c r="F15" s="24" t="s">
        <v>71</v>
      </c>
      <c r="G15" s="25" t="n">
        <v>260000</v>
      </c>
      <c r="H15" s="25" t="n">
        <v>30000</v>
      </c>
      <c r="I15" s="25" t="n">
        <v>230000</v>
      </c>
      <c r="J15" s="25" t="n">
        <v>104000</v>
      </c>
      <c r="K15" s="25" t="n">
        <v>260000</v>
      </c>
      <c r="L15" s="25" t="n">
        <v>299000</v>
      </c>
      <c r="M15" s="25" t="n">
        <v>221000</v>
      </c>
      <c r="N15" s="23"/>
    </row>
    <row r="16" customFormat="false" ht="18" hidden="false" customHeight="true" outlineLevel="0" collapsed="false">
      <c r="A16" s="26" t="s">
        <v>116</v>
      </c>
      <c r="B16" s="26" t="s">
        <v>117</v>
      </c>
      <c r="C16" s="26" t="s">
        <v>74</v>
      </c>
      <c r="D16" s="26" t="s">
        <v>70</v>
      </c>
      <c r="E16" s="26" t="s">
        <v>50</v>
      </c>
      <c r="F16" s="24" t="s">
        <v>71</v>
      </c>
      <c r="G16" s="28" t="n">
        <v>230000</v>
      </c>
      <c r="H16" s="28" t="n">
        <v>35000</v>
      </c>
      <c r="I16" s="28" t="n">
        <v>195000</v>
      </c>
      <c r="J16" s="28" t="n">
        <v>115000</v>
      </c>
      <c r="K16" s="28" t="n">
        <v>230000</v>
      </c>
      <c r="L16" s="28" t="n">
        <v>264500</v>
      </c>
      <c r="M16" s="28" t="n">
        <v>195500</v>
      </c>
      <c r="N16" s="26"/>
    </row>
    <row r="17" customFormat="false" ht="18" hidden="false" customHeight="true" outlineLevel="0" collapsed="false">
      <c r="A17" s="23" t="s">
        <v>118</v>
      </c>
      <c r="B17" s="23" t="s">
        <v>119</v>
      </c>
      <c r="C17" s="23" t="s">
        <v>109</v>
      </c>
      <c r="D17" s="23" t="s">
        <v>98</v>
      </c>
      <c r="E17" s="23" t="s">
        <v>50</v>
      </c>
      <c r="F17" s="42" t="s">
        <v>120</v>
      </c>
      <c r="G17" s="25" t="n">
        <v>180000</v>
      </c>
      <c r="H17" s="25" t="n">
        <v>20000</v>
      </c>
      <c r="I17" s="25" t="n">
        <v>160000</v>
      </c>
      <c r="J17" s="25" t="n">
        <v>180000</v>
      </c>
      <c r="K17" s="25" t="n">
        <v>180000</v>
      </c>
      <c r="L17" s="25" t="n">
        <v>206999</v>
      </c>
      <c r="M17" s="25" t="n">
        <v>153000</v>
      </c>
      <c r="N17" s="23"/>
    </row>
    <row r="18" customFormat="false" ht="18" hidden="false" customHeight="true" outlineLevel="0" collapsed="false">
      <c r="A18" s="26" t="s">
        <v>121</v>
      </c>
      <c r="B18" s="26" t="s">
        <v>122</v>
      </c>
      <c r="C18" s="26" t="s">
        <v>69</v>
      </c>
      <c r="D18" s="26" t="s">
        <v>123</v>
      </c>
      <c r="E18" s="26" t="s">
        <v>50</v>
      </c>
      <c r="F18" s="27" t="s">
        <v>75</v>
      </c>
      <c r="G18" s="28" t="n">
        <v>210000</v>
      </c>
      <c r="H18" s="28" t="n">
        <v>40000</v>
      </c>
      <c r="I18" s="28" t="n">
        <v>170000</v>
      </c>
      <c r="J18" s="28" t="n">
        <v>42000</v>
      </c>
      <c r="K18" s="28" t="n">
        <v>210000</v>
      </c>
      <c r="L18" s="28" t="n">
        <v>241499</v>
      </c>
      <c r="M18" s="28" t="n">
        <v>178500</v>
      </c>
      <c r="N18" s="26"/>
    </row>
    <row r="19" customFormat="false" ht="18" hidden="false" customHeight="true" outlineLevel="0" collapsed="false">
      <c r="A19" s="23" t="s">
        <v>124</v>
      </c>
      <c r="B19" s="23" t="s">
        <v>125</v>
      </c>
      <c r="C19" s="23" t="s">
        <v>74</v>
      </c>
      <c r="D19" s="23" t="s">
        <v>98</v>
      </c>
      <c r="E19" s="23" t="s">
        <v>50</v>
      </c>
      <c r="F19" s="24" t="s">
        <v>71</v>
      </c>
      <c r="G19" s="25" t="n">
        <v>480000</v>
      </c>
      <c r="H19" s="25" t="n">
        <v>25000</v>
      </c>
      <c r="I19" s="25" t="n">
        <v>455000</v>
      </c>
      <c r="J19" s="25" t="n">
        <v>240000</v>
      </c>
      <c r="K19" s="25" t="n">
        <v>480000</v>
      </c>
      <c r="L19" s="25" t="n">
        <v>552000</v>
      </c>
      <c r="M19" s="25" t="n">
        <v>408000</v>
      </c>
      <c r="N19" s="23"/>
    </row>
    <row r="20" customFormat="false" ht="19.5" hidden="false" customHeight="true" outlineLevel="0" collapsed="false">
      <c r="A20" s="29" t="s">
        <v>76</v>
      </c>
      <c r="B20" s="29"/>
      <c r="C20" s="29"/>
      <c r="D20" s="29"/>
      <c r="E20" s="29"/>
      <c r="F20" s="29"/>
      <c r="G20" s="30" t="n">
        <f aca="false">SUM(G9:G19)</f>
        <v>3345000</v>
      </c>
      <c r="H20" s="30" t="n">
        <f aca="false">SUM(H9:H19)</f>
        <v>430000</v>
      </c>
      <c r="I20" s="30" t="n">
        <f aca="false">SUM(I9:I19)</f>
        <v>2915000</v>
      </c>
      <c r="J20" s="30" t="n">
        <f aca="false">SUM(J9:J19)</f>
        <v>1450500</v>
      </c>
      <c r="K20" s="30" t="n">
        <f aca="false">SUM(K9:K19)</f>
        <v>3345000</v>
      </c>
      <c r="L20" s="30" t="n">
        <f aca="false">SUM(L9:L19)</f>
        <v>3846745</v>
      </c>
      <c r="M20" s="30" t="n">
        <f aca="false">SUM(M9:M19)</f>
        <v>2843250</v>
      </c>
    </row>
    <row r="22" customFormat="false" ht="21.75" hidden="false" customHeight="true" outlineLevel="0" collapsed="false">
      <c r="A22" s="31" t="s">
        <v>126</v>
      </c>
      <c r="B22" s="31"/>
      <c r="C22" s="31"/>
      <c r="D22" s="31"/>
      <c r="E22" s="31"/>
      <c r="F22" s="31"/>
      <c r="G22" s="31"/>
      <c r="H22" s="31"/>
    </row>
    <row r="23" customFormat="false" ht="36" hidden="false" customHeight="true" outlineLevel="0" collapsed="false">
      <c r="A23" s="32" t="s">
        <v>78</v>
      </c>
      <c r="B23" s="32" t="s">
        <v>79</v>
      </c>
      <c r="C23" s="32" t="s">
        <v>80</v>
      </c>
      <c r="D23" s="32" t="s">
        <v>81</v>
      </c>
      <c r="E23" s="32" t="s">
        <v>82</v>
      </c>
      <c r="F23" s="32" t="s">
        <v>18</v>
      </c>
      <c r="G23" s="32" t="s">
        <v>19</v>
      </c>
      <c r="H23" s="32" t="s">
        <v>83</v>
      </c>
    </row>
    <row r="24" customFormat="false" ht="19.5" hidden="false" customHeight="true" outlineLevel="0" collapsed="false">
      <c r="A24" s="33" t="s">
        <v>84</v>
      </c>
      <c r="B24" s="33" t="s">
        <v>85</v>
      </c>
      <c r="C24" s="34" t="n">
        <v>3846749</v>
      </c>
      <c r="D24" s="34" t="n">
        <f aca="false">C24-3345000</f>
        <v>501749</v>
      </c>
      <c r="E24" s="35" t="n">
        <f aca="false">IFERROR(C24/3345000-1,"-")</f>
        <v>0.149999701046338</v>
      </c>
      <c r="F24" s="34" t="n">
        <v>387000</v>
      </c>
      <c r="G24" s="34" t="n">
        <f aca="false">C24-F24</f>
        <v>3459749</v>
      </c>
      <c r="H24" s="33" t="s">
        <v>86</v>
      </c>
    </row>
    <row r="25" customFormat="false" ht="19.5" hidden="false" customHeight="true" outlineLevel="0" collapsed="false">
      <c r="A25" s="36" t="s">
        <v>87</v>
      </c>
      <c r="B25" s="36" t="s">
        <v>88</v>
      </c>
      <c r="C25" s="37" t="n">
        <v>3345000</v>
      </c>
      <c r="D25" s="37" t="n">
        <f aca="false">C25-3345000</f>
        <v>0</v>
      </c>
      <c r="E25" s="38" t="n">
        <f aca="false">IFERROR(C25/3345000-1,"-")</f>
        <v>0</v>
      </c>
      <c r="F25" s="37" t="n">
        <v>430000</v>
      </c>
      <c r="G25" s="37" t="n">
        <f aca="false">C25-F25</f>
        <v>2915000</v>
      </c>
      <c r="H25" s="36" t="s">
        <v>89</v>
      </c>
    </row>
    <row r="26" customFormat="false" ht="19.5" hidden="false" customHeight="true" outlineLevel="0" collapsed="false">
      <c r="A26" s="39" t="s">
        <v>90</v>
      </c>
      <c r="B26" s="39" t="s">
        <v>91</v>
      </c>
      <c r="C26" s="40" t="n">
        <v>2508750</v>
      </c>
      <c r="D26" s="40" t="n">
        <f aca="false">C26-3345000</f>
        <v>-836250</v>
      </c>
      <c r="E26" s="41" t="n">
        <f aca="false">IFERROR(C26/3345000-1,"-")</f>
        <v>-0.25</v>
      </c>
      <c r="F26" s="40" t="n">
        <v>473000</v>
      </c>
      <c r="G26" s="40" t="n">
        <f aca="false">C26-F26</f>
        <v>2035750</v>
      </c>
      <c r="H26" s="39" t="s">
        <v>92</v>
      </c>
    </row>
  </sheetData>
  <mergeCells count="19">
    <mergeCell ref="A1:N1"/>
    <mergeCell ref="A3:N3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7:N7"/>
    <mergeCell ref="A20:F20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3" min="10" style="0" width="13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1.75" hidden="false" customHeight="true" outlineLevel="0" collapsed="false">
      <c r="A3" s="3" t="s">
        <v>128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54</v>
      </c>
      <c r="B4" s="4"/>
      <c r="C4" s="4" t="s">
        <v>55</v>
      </c>
      <c r="D4" s="4"/>
      <c r="E4" s="4" t="s">
        <v>56</v>
      </c>
      <c r="F4" s="4"/>
      <c r="G4" s="4" t="s">
        <v>7</v>
      </c>
      <c r="H4" s="4"/>
      <c r="I4" s="4" t="s">
        <v>8</v>
      </c>
      <c r="J4" s="4"/>
      <c r="K4" s="4" t="s">
        <v>57</v>
      </c>
      <c r="L4" s="4"/>
      <c r="M4" s="4" t="s">
        <v>58</v>
      </c>
      <c r="N4" s="4"/>
    </row>
    <row r="5" customFormat="false" ht="31.5" hidden="false" customHeight="true" outlineLevel="0" collapsed="false">
      <c r="A5" s="6" t="n">
        <f aca="false">COUNTIF('HC Detail'!$T$3:$T$22,"Procurement")+COUNTIF('Non-HC Detail'!$D$3:$D$17,"Procurement")</f>
        <v>3</v>
      </c>
      <c r="B5" s="6"/>
      <c r="C5" s="5" t="n">
        <f aca="false">SUMIF('Non-HC Detail'!$D$3:$D$17,"Procurement",'Non-HC Detail'!$I$3:$I$17)</f>
        <v>5175000</v>
      </c>
      <c r="D5" s="5"/>
      <c r="E5" s="5" t="n">
        <f aca="false">SUMIF('Non-HC Detail'!$D$3:$D$17,"Procurement",'Non-HC Detail'!$J$3:$J$17)</f>
        <v>280000</v>
      </c>
      <c r="F5" s="5"/>
      <c r="G5" s="5" t="n">
        <f aca="false">SUMIF('Non-HC Detail'!$D$3:$D$17,"Procurement",'Non-HC Detail'!$I$3:$I$17)-(SUMIF('Non-HC Detail'!$D$3:$D$17,"Procurement",'Non-HC Detail'!$J$3:$J$17))</f>
        <v>4895000</v>
      </c>
      <c r="H5" s="5"/>
      <c r="I5" s="5" t="n">
        <f aca="false">SUMIF('Non-HC Detail'!$D$3:$D$17,"Procurement",'Non-HC Detail'!$L$3:$L$17)</f>
        <v>2325000</v>
      </c>
      <c r="J5" s="5"/>
      <c r="K5" s="5" t="n">
        <f aca="false">SUMIF('Non-HC Detail'!$D$3:$D$17,"Procurement",'Non-HC Detail'!$I$3:$I$17)</f>
        <v>5175000</v>
      </c>
      <c r="L5" s="5"/>
      <c r="M5" s="5" t="n">
        <f aca="false">SUMIF('Non-HC Detail'!$D$3:$D$17,"Procurement",'Non-HC Detail'!$I$3:$I$17)*1.15</f>
        <v>5951250</v>
      </c>
      <c r="N5" s="5"/>
    </row>
    <row r="7" customFormat="false" ht="21.75" hidden="false" customHeight="true" outlineLevel="0" collapsed="false">
      <c r="A7" s="22" t="s">
        <v>129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customFormat="false" ht="39.75" hidden="false" customHeight="true" outlineLevel="0" collapsed="false">
      <c r="A8" s="7" t="s">
        <v>60</v>
      </c>
      <c r="B8" s="7" t="s">
        <v>61</v>
      </c>
      <c r="C8" s="7" t="s">
        <v>30</v>
      </c>
      <c r="D8" s="7" t="s">
        <v>62</v>
      </c>
      <c r="E8" s="7" t="s">
        <v>40</v>
      </c>
      <c r="F8" s="7" t="s">
        <v>63</v>
      </c>
      <c r="G8" s="7" t="s">
        <v>55</v>
      </c>
      <c r="H8" s="7" t="s">
        <v>64</v>
      </c>
      <c r="I8" s="7" t="s">
        <v>7</v>
      </c>
      <c r="J8" s="7" t="s">
        <v>20</v>
      </c>
      <c r="K8" s="7" t="s">
        <v>33</v>
      </c>
      <c r="L8" s="7" t="s">
        <v>58</v>
      </c>
      <c r="M8" s="7" t="s">
        <v>65</v>
      </c>
      <c r="N8" s="7" t="s">
        <v>66</v>
      </c>
    </row>
    <row r="9" customFormat="false" ht="18" hidden="false" customHeight="true" outlineLevel="0" collapsed="false">
      <c r="A9" s="23" t="s">
        <v>130</v>
      </c>
      <c r="B9" s="23" t="s">
        <v>131</v>
      </c>
      <c r="C9" s="23" t="s">
        <v>69</v>
      </c>
      <c r="D9" s="23" t="s">
        <v>132</v>
      </c>
      <c r="E9" s="23" t="s">
        <v>49</v>
      </c>
      <c r="F9" s="24" t="s">
        <v>71</v>
      </c>
      <c r="G9" s="25" t="n">
        <v>3100000</v>
      </c>
      <c r="H9" s="25" t="n">
        <v>150000</v>
      </c>
      <c r="I9" s="25" t="n">
        <v>2950000</v>
      </c>
      <c r="J9" s="25" t="n">
        <v>1550000</v>
      </c>
      <c r="K9" s="25" t="n">
        <v>3100000</v>
      </c>
      <c r="L9" s="25" t="n">
        <v>3564999</v>
      </c>
      <c r="M9" s="25" t="n">
        <v>2635000</v>
      </c>
      <c r="N9" s="23"/>
    </row>
    <row r="10" customFormat="false" ht="18" hidden="false" customHeight="true" outlineLevel="0" collapsed="false">
      <c r="A10" s="26" t="s">
        <v>133</v>
      </c>
      <c r="B10" s="26" t="s">
        <v>134</v>
      </c>
      <c r="C10" s="26" t="s">
        <v>74</v>
      </c>
      <c r="D10" s="26" t="s">
        <v>132</v>
      </c>
      <c r="E10" s="26" t="s">
        <v>49</v>
      </c>
      <c r="F10" s="24" t="s">
        <v>71</v>
      </c>
      <c r="G10" s="28" t="n">
        <v>1200000</v>
      </c>
      <c r="H10" s="28" t="n">
        <v>80000</v>
      </c>
      <c r="I10" s="28" t="n">
        <v>1120000</v>
      </c>
      <c r="J10" s="28" t="n">
        <v>600000</v>
      </c>
      <c r="K10" s="28" t="n">
        <v>1200000</v>
      </c>
      <c r="L10" s="28" t="n">
        <v>1380000</v>
      </c>
      <c r="M10" s="28" t="n">
        <v>1020000</v>
      </c>
      <c r="N10" s="26"/>
    </row>
    <row r="11" customFormat="false" ht="18" hidden="false" customHeight="true" outlineLevel="0" collapsed="false">
      <c r="A11" s="23" t="s">
        <v>135</v>
      </c>
      <c r="B11" s="23" t="s">
        <v>136</v>
      </c>
      <c r="C11" s="23" t="s">
        <v>109</v>
      </c>
      <c r="D11" s="23" t="s">
        <v>132</v>
      </c>
      <c r="E11" s="23" t="s">
        <v>49</v>
      </c>
      <c r="F11" s="27" t="s">
        <v>75</v>
      </c>
      <c r="G11" s="25" t="n">
        <v>875000</v>
      </c>
      <c r="H11" s="25" t="n">
        <v>50000</v>
      </c>
      <c r="I11" s="25" t="n">
        <v>825000</v>
      </c>
      <c r="J11" s="25" t="n">
        <v>175000</v>
      </c>
      <c r="K11" s="25" t="n">
        <v>875000</v>
      </c>
      <c r="L11" s="25" t="n">
        <v>1006249</v>
      </c>
      <c r="M11" s="25" t="n">
        <v>743750</v>
      </c>
      <c r="N11" s="23"/>
    </row>
    <row r="12" customFormat="false" ht="19.5" hidden="false" customHeight="true" outlineLevel="0" collapsed="false">
      <c r="A12" s="29" t="s">
        <v>76</v>
      </c>
      <c r="B12" s="29"/>
      <c r="C12" s="29"/>
      <c r="D12" s="29"/>
      <c r="E12" s="29"/>
      <c r="F12" s="29"/>
      <c r="G12" s="30" t="n">
        <f aca="false">SUM(G9:G11)</f>
        <v>5175000</v>
      </c>
      <c r="H12" s="30" t="n">
        <f aca="false">SUM(H9:H11)</f>
        <v>280000</v>
      </c>
      <c r="I12" s="30" t="n">
        <f aca="false">SUM(I9:I11)</f>
        <v>4895000</v>
      </c>
      <c r="J12" s="30" t="n">
        <f aca="false">SUM(J9:J11)</f>
        <v>2325000</v>
      </c>
      <c r="K12" s="30" t="n">
        <f aca="false">SUM(K9:K11)</f>
        <v>5175000</v>
      </c>
      <c r="L12" s="30" t="n">
        <f aca="false">SUM(L9:L11)</f>
        <v>5951248</v>
      </c>
      <c r="M12" s="30" t="n">
        <f aca="false">SUM(M9:M11)</f>
        <v>4398750</v>
      </c>
    </row>
    <row r="14" customFormat="false" ht="21.75" hidden="false" customHeight="true" outlineLevel="0" collapsed="false">
      <c r="A14" s="31" t="s">
        <v>137</v>
      </c>
      <c r="B14" s="31"/>
      <c r="C14" s="31"/>
      <c r="D14" s="31"/>
      <c r="E14" s="31"/>
      <c r="F14" s="31"/>
      <c r="G14" s="31"/>
      <c r="H14" s="31"/>
    </row>
    <row r="15" customFormat="false" ht="36" hidden="false" customHeight="true" outlineLevel="0" collapsed="false">
      <c r="A15" s="32" t="s">
        <v>78</v>
      </c>
      <c r="B15" s="32" t="s">
        <v>79</v>
      </c>
      <c r="C15" s="32" t="s">
        <v>80</v>
      </c>
      <c r="D15" s="32" t="s">
        <v>81</v>
      </c>
      <c r="E15" s="32" t="s">
        <v>82</v>
      </c>
      <c r="F15" s="32" t="s">
        <v>18</v>
      </c>
      <c r="G15" s="32" t="s">
        <v>19</v>
      </c>
      <c r="H15" s="32" t="s">
        <v>83</v>
      </c>
    </row>
    <row r="16" customFormat="false" ht="19.5" hidden="false" customHeight="true" outlineLevel="0" collapsed="false">
      <c r="A16" s="33" t="s">
        <v>84</v>
      </c>
      <c r="B16" s="33" t="s">
        <v>85</v>
      </c>
      <c r="C16" s="34" t="n">
        <v>5951250</v>
      </c>
      <c r="D16" s="34" t="n">
        <f aca="false">C16-5175000</f>
        <v>776250</v>
      </c>
      <c r="E16" s="35" t="n">
        <f aca="false">IFERROR(C16/5175000-1,"-")</f>
        <v>0.15</v>
      </c>
      <c r="F16" s="34" t="n">
        <v>252000</v>
      </c>
      <c r="G16" s="34" t="n">
        <f aca="false">C16-F16</f>
        <v>5699250</v>
      </c>
      <c r="H16" s="33" t="s">
        <v>86</v>
      </c>
    </row>
    <row r="17" customFormat="false" ht="19.5" hidden="false" customHeight="true" outlineLevel="0" collapsed="false">
      <c r="A17" s="36" t="s">
        <v>87</v>
      </c>
      <c r="B17" s="36" t="s">
        <v>88</v>
      </c>
      <c r="C17" s="37" t="n">
        <v>5175000</v>
      </c>
      <c r="D17" s="37" t="n">
        <f aca="false">C17-5175000</f>
        <v>0</v>
      </c>
      <c r="E17" s="38" t="n">
        <f aca="false">IFERROR(C17/5175000-1,"-")</f>
        <v>0</v>
      </c>
      <c r="F17" s="37" t="n">
        <v>280000</v>
      </c>
      <c r="G17" s="37" t="n">
        <f aca="false">C17-F17</f>
        <v>4895000</v>
      </c>
      <c r="H17" s="36" t="s">
        <v>89</v>
      </c>
    </row>
    <row r="18" customFormat="false" ht="19.5" hidden="false" customHeight="true" outlineLevel="0" collapsed="false">
      <c r="A18" s="39" t="s">
        <v>90</v>
      </c>
      <c r="B18" s="39" t="s">
        <v>91</v>
      </c>
      <c r="C18" s="40" t="n">
        <v>3881250</v>
      </c>
      <c r="D18" s="40" t="n">
        <f aca="false">C18-5175000</f>
        <v>-1293750</v>
      </c>
      <c r="E18" s="41" t="n">
        <f aca="false">IFERROR(C18/5175000-1,"-")</f>
        <v>-0.25</v>
      </c>
      <c r="F18" s="40" t="n">
        <v>308000</v>
      </c>
      <c r="G18" s="40" t="n">
        <f aca="false">C18-F18</f>
        <v>3573250</v>
      </c>
      <c r="H18" s="39" t="s">
        <v>92</v>
      </c>
    </row>
  </sheetData>
  <mergeCells count="19">
    <mergeCell ref="A1:N1"/>
    <mergeCell ref="A3:N3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7:N7"/>
    <mergeCell ref="A12:F1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3" min="10" style="0" width="13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1.75" hidden="false" customHeight="true" outlineLevel="0" collapsed="false">
      <c r="A3" s="3" t="s">
        <v>139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54</v>
      </c>
      <c r="B4" s="4"/>
      <c r="C4" s="4" t="s">
        <v>55</v>
      </c>
      <c r="D4" s="4"/>
      <c r="E4" s="4" t="s">
        <v>56</v>
      </c>
      <c r="F4" s="4"/>
      <c r="G4" s="4" t="s">
        <v>7</v>
      </c>
      <c r="H4" s="4"/>
      <c r="I4" s="4" t="s">
        <v>8</v>
      </c>
      <c r="J4" s="4"/>
      <c r="K4" s="4" t="s">
        <v>57</v>
      </c>
      <c r="L4" s="4"/>
      <c r="M4" s="4" t="s">
        <v>58</v>
      </c>
      <c r="N4" s="4"/>
    </row>
    <row r="5" customFormat="false" ht="31.5" hidden="false" customHeight="true" outlineLevel="0" collapsed="false">
      <c r="A5" s="6" t="n">
        <f aca="false">COUNTIF('HC Detail'!$T$3:$T$22,"Marketing")+COUNTIF('Non-HC Detail'!$D$3:$D$17,"Marketing")</f>
        <v>2</v>
      </c>
      <c r="B5" s="6"/>
      <c r="C5" s="5" t="n">
        <f aca="false">SUMIF('Non-HC Detail'!$D$3:$D$17,"Marketing",'Non-HC Detail'!$I$3:$I$17)</f>
        <v>1330000</v>
      </c>
      <c r="D5" s="5"/>
      <c r="E5" s="5" t="n">
        <f aca="false">SUMIF('Non-HC Detail'!$D$3:$D$17,"Marketing",'Non-HC Detail'!$J$3:$J$17)</f>
        <v>195000</v>
      </c>
      <c r="F5" s="5"/>
      <c r="G5" s="5" t="n">
        <f aca="false">SUMIF('Non-HC Detail'!$D$3:$D$17,"Marketing",'Non-HC Detail'!$I$3:$I$17)-(SUMIF('Non-HC Detail'!$D$3:$D$17,"Marketing",'Non-HC Detail'!$J$3:$J$17))</f>
        <v>1135000</v>
      </c>
      <c r="H5" s="5"/>
      <c r="I5" s="5" t="n">
        <f aca="false">SUMIF('Non-HC Detail'!$D$3:$D$17,"Marketing",'Non-HC Detail'!$L$3:$L$17)</f>
        <v>627000</v>
      </c>
      <c r="J5" s="5"/>
      <c r="K5" s="5" t="n">
        <f aca="false">SUMIF('Non-HC Detail'!$D$3:$D$17,"Marketing",'Non-HC Detail'!$I$3:$I$17)</f>
        <v>1330000</v>
      </c>
      <c r="L5" s="5"/>
      <c r="M5" s="5" t="n">
        <f aca="false">SUMIF('Non-HC Detail'!$D$3:$D$17,"Marketing",'Non-HC Detail'!$I$3:$I$17)*1.15</f>
        <v>1529500</v>
      </c>
      <c r="N5" s="5"/>
    </row>
    <row r="7" customFormat="false" ht="21.75" hidden="false" customHeight="true" outlineLevel="0" collapsed="false">
      <c r="A7" s="22" t="s">
        <v>140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customFormat="false" ht="39.75" hidden="false" customHeight="true" outlineLevel="0" collapsed="false">
      <c r="A8" s="7" t="s">
        <v>60</v>
      </c>
      <c r="B8" s="7" t="s">
        <v>61</v>
      </c>
      <c r="C8" s="7" t="s">
        <v>30</v>
      </c>
      <c r="D8" s="7" t="s">
        <v>62</v>
      </c>
      <c r="E8" s="7" t="s">
        <v>40</v>
      </c>
      <c r="F8" s="7" t="s">
        <v>63</v>
      </c>
      <c r="G8" s="7" t="s">
        <v>55</v>
      </c>
      <c r="H8" s="7" t="s">
        <v>64</v>
      </c>
      <c r="I8" s="7" t="s">
        <v>7</v>
      </c>
      <c r="J8" s="7" t="s">
        <v>20</v>
      </c>
      <c r="K8" s="7" t="s">
        <v>33</v>
      </c>
      <c r="L8" s="7" t="s">
        <v>58</v>
      </c>
      <c r="M8" s="7" t="s">
        <v>65</v>
      </c>
      <c r="N8" s="7" t="s">
        <v>66</v>
      </c>
    </row>
    <row r="9" customFormat="false" ht="18" hidden="false" customHeight="true" outlineLevel="0" collapsed="false">
      <c r="A9" s="23" t="s">
        <v>141</v>
      </c>
      <c r="B9" s="23" t="s">
        <v>142</v>
      </c>
      <c r="C9" s="23" t="s">
        <v>109</v>
      </c>
      <c r="D9" s="23" t="s">
        <v>110</v>
      </c>
      <c r="E9" s="23" t="s">
        <v>50</v>
      </c>
      <c r="F9" s="24" t="s">
        <v>71</v>
      </c>
      <c r="G9" s="25" t="n">
        <v>950000</v>
      </c>
      <c r="H9" s="25" t="n">
        <v>75000</v>
      </c>
      <c r="I9" s="25" t="n">
        <v>875000</v>
      </c>
      <c r="J9" s="25" t="n">
        <v>475000</v>
      </c>
      <c r="K9" s="25" t="n">
        <v>950000</v>
      </c>
      <c r="L9" s="25" t="n">
        <v>1092500</v>
      </c>
      <c r="M9" s="25" t="n">
        <v>807500</v>
      </c>
      <c r="N9" s="23"/>
    </row>
    <row r="10" customFormat="false" ht="18" hidden="false" customHeight="true" outlineLevel="0" collapsed="false">
      <c r="A10" s="26" t="s">
        <v>143</v>
      </c>
      <c r="B10" s="26" t="s">
        <v>144</v>
      </c>
      <c r="C10" s="26" t="s">
        <v>69</v>
      </c>
      <c r="D10" s="26" t="s">
        <v>110</v>
      </c>
      <c r="E10" s="26" t="s">
        <v>50</v>
      </c>
      <c r="F10" s="24" t="s">
        <v>71</v>
      </c>
      <c r="G10" s="28" t="n">
        <v>380000</v>
      </c>
      <c r="H10" s="28" t="n">
        <v>120000</v>
      </c>
      <c r="I10" s="28" t="n">
        <v>260000</v>
      </c>
      <c r="J10" s="28" t="n">
        <v>152000</v>
      </c>
      <c r="K10" s="28" t="n">
        <v>380000</v>
      </c>
      <c r="L10" s="28" t="n">
        <v>436999</v>
      </c>
      <c r="M10" s="28" t="n">
        <v>323000</v>
      </c>
      <c r="N10" s="26"/>
    </row>
    <row r="11" customFormat="false" ht="19.5" hidden="false" customHeight="true" outlineLevel="0" collapsed="false">
      <c r="A11" s="29" t="s">
        <v>76</v>
      </c>
      <c r="B11" s="29"/>
      <c r="C11" s="29"/>
      <c r="D11" s="29"/>
      <c r="E11" s="29"/>
      <c r="F11" s="29"/>
      <c r="G11" s="30" t="n">
        <f aca="false">SUM(G9:G10)</f>
        <v>1330000</v>
      </c>
      <c r="H11" s="30" t="n">
        <f aca="false">SUM(H9:H10)</f>
        <v>195000</v>
      </c>
      <c r="I11" s="30" t="n">
        <f aca="false">SUM(I9:I10)</f>
        <v>1135000</v>
      </c>
      <c r="J11" s="30" t="n">
        <f aca="false">SUM(J9:J10)</f>
        <v>627000</v>
      </c>
      <c r="K11" s="30" t="n">
        <f aca="false">SUM(K9:K10)</f>
        <v>1330000</v>
      </c>
      <c r="L11" s="30" t="n">
        <f aca="false">SUM(L9:L10)</f>
        <v>1529499</v>
      </c>
      <c r="M11" s="30" t="n">
        <f aca="false">SUM(M9:M10)</f>
        <v>1130500</v>
      </c>
    </row>
    <row r="13" customFormat="false" ht="21.75" hidden="false" customHeight="true" outlineLevel="0" collapsed="false">
      <c r="A13" s="31" t="s">
        <v>145</v>
      </c>
      <c r="B13" s="31"/>
      <c r="C13" s="31"/>
      <c r="D13" s="31"/>
      <c r="E13" s="31"/>
      <c r="F13" s="31"/>
      <c r="G13" s="31"/>
      <c r="H13" s="31"/>
    </row>
    <row r="14" customFormat="false" ht="36" hidden="false" customHeight="true" outlineLevel="0" collapsed="false">
      <c r="A14" s="32" t="s">
        <v>78</v>
      </c>
      <c r="B14" s="32" t="s">
        <v>79</v>
      </c>
      <c r="C14" s="32" t="s">
        <v>80</v>
      </c>
      <c r="D14" s="32" t="s">
        <v>81</v>
      </c>
      <c r="E14" s="32" t="s">
        <v>82</v>
      </c>
      <c r="F14" s="32" t="s">
        <v>18</v>
      </c>
      <c r="G14" s="32" t="s">
        <v>19</v>
      </c>
      <c r="H14" s="32" t="s">
        <v>83</v>
      </c>
    </row>
    <row r="15" customFormat="false" ht="19.5" hidden="false" customHeight="true" outlineLevel="0" collapsed="false">
      <c r="A15" s="33" t="s">
        <v>84</v>
      </c>
      <c r="B15" s="33" t="s">
        <v>85</v>
      </c>
      <c r="C15" s="34" t="n">
        <v>1529499</v>
      </c>
      <c r="D15" s="34" t="n">
        <f aca="false">C15-1330000</f>
        <v>199499</v>
      </c>
      <c r="E15" s="35" t="n">
        <f aca="false">IFERROR(C15/1330000-1,"-")</f>
        <v>0.149999248120301</v>
      </c>
      <c r="F15" s="34" t="n">
        <v>175500</v>
      </c>
      <c r="G15" s="34" t="n">
        <f aca="false">C15-F15</f>
        <v>1353999</v>
      </c>
      <c r="H15" s="33" t="s">
        <v>86</v>
      </c>
    </row>
    <row r="16" customFormat="false" ht="19.5" hidden="false" customHeight="true" outlineLevel="0" collapsed="false">
      <c r="A16" s="36" t="s">
        <v>87</v>
      </c>
      <c r="B16" s="36" t="s">
        <v>88</v>
      </c>
      <c r="C16" s="37" t="n">
        <v>1330000</v>
      </c>
      <c r="D16" s="37" t="n">
        <f aca="false">C16-1330000</f>
        <v>0</v>
      </c>
      <c r="E16" s="38" t="n">
        <f aca="false">IFERROR(C16/1330000-1,"-")</f>
        <v>0</v>
      </c>
      <c r="F16" s="37" t="n">
        <v>195000</v>
      </c>
      <c r="G16" s="37" t="n">
        <f aca="false">C16-F16</f>
        <v>1135000</v>
      </c>
      <c r="H16" s="36" t="s">
        <v>89</v>
      </c>
    </row>
    <row r="17" customFormat="false" ht="19.5" hidden="false" customHeight="true" outlineLevel="0" collapsed="false">
      <c r="A17" s="39" t="s">
        <v>90</v>
      </c>
      <c r="B17" s="39" t="s">
        <v>91</v>
      </c>
      <c r="C17" s="40" t="n">
        <v>997500</v>
      </c>
      <c r="D17" s="40" t="n">
        <f aca="false">C17-1330000</f>
        <v>-332500</v>
      </c>
      <c r="E17" s="41" t="n">
        <f aca="false">IFERROR(C17/1330000-1,"-")</f>
        <v>-0.25</v>
      </c>
      <c r="F17" s="40" t="n">
        <v>214500</v>
      </c>
      <c r="G17" s="40" t="n">
        <f aca="false">C17-F17</f>
        <v>783000</v>
      </c>
      <c r="H17" s="39" t="s">
        <v>92</v>
      </c>
    </row>
  </sheetData>
  <mergeCells count="19">
    <mergeCell ref="A1:N1"/>
    <mergeCell ref="A3:N3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7:N7"/>
    <mergeCell ref="A11:F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75"/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3" min="10" style="0" width="13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1.75" hidden="false" customHeight="true" outlineLevel="0" collapsed="false">
      <c r="A3" s="3" t="s">
        <v>147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54</v>
      </c>
      <c r="B4" s="4"/>
      <c r="C4" s="4" t="s">
        <v>55</v>
      </c>
      <c r="D4" s="4"/>
      <c r="E4" s="4" t="s">
        <v>56</v>
      </c>
      <c r="F4" s="4"/>
      <c r="G4" s="4" t="s">
        <v>7</v>
      </c>
      <c r="H4" s="4"/>
      <c r="I4" s="4" t="s">
        <v>8</v>
      </c>
      <c r="J4" s="4"/>
      <c r="K4" s="4" t="s">
        <v>57</v>
      </c>
      <c r="L4" s="4"/>
      <c r="M4" s="4" t="s">
        <v>58</v>
      </c>
      <c r="N4" s="4"/>
    </row>
    <row r="5" customFormat="false" ht="31.5" hidden="false" customHeight="true" outlineLevel="0" collapsed="false">
      <c r="A5" s="6" t="n">
        <f aca="false">COUNTIF('HC Detail'!$T$3:$T$22,"Technology")+COUNTIF('Non-HC Detail'!$D$3:$D$17,"Technology")</f>
        <v>3</v>
      </c>
      <c r="B5" s="6"/>
      <c r="C5" s="5" t="n">
        <f aca="false">SUMIF('Non-HC Detail'!$D$3:$D$17,"Technology",'Non-HC Detail'!$I$3:$I$17)</f>
        <v>4620000</v>
      </c>
      <c r="D5" s="5"/>
      <c r="E5" s="5" t="n">
        <f aca="false">SUMIF('Non-HC Detail'!$D$3:$D$17,"Technology",'Non-HC Detail'!$J$3:$J$17)</f>
        <v>2430000</v>
      </c>
      <c r="F5" s="5"/>
      <c r="G5" s="5" t="n">
        <f aca="false">SUMIF('Non-HC Detail'!$D$3:$D$17,"Technology",'Non-HC Detail'!$I$3:$I$17)-(SUMIF('Non-HC Detail'!$D$3:$D$17,"Technology",'Non-HC Detail'!$J$3:$J$17))</f>
        <v>2190000</v>
      </c>
      <c r="H5" s="5"/>
      <c r="I5" s="5" t="n">
        <f aca="false">SUMIF('Non-HC Detail'!$D$3:$D$17,"Technology",'Non-HC Detail'!$L$3:$L$17)</f>
        <v>1470000</v>
      </c>
      <c r="J5" s="5"/>
      <c r="K5" s="5" t="n">
        <f aca="false">SUMIF('Non-HC Detail'!$D$3:$D$17,"Technology",'Non-HC Detail'!$I$3:$I$17)</f>
        <v>4620000</v>
      </c>
      <c r="L5" s="5"/>
      <c r="M5" s="5" t="n">
        <f aca="false">SUMIF('Non-HC Detail'!$D$3:$D$17,"Technology",'Non-HC Detail'!$I$3:$I$17)*1.15</f>
        <v>5313000</v>
      </c>
      <c r="N5" s="5"/>
    </row>
    <row r="7" customFormat="false" ht="21.75" hidden="false" customHeight="true" outlineLevel="0" collapsed="false">
      <c r="A7" s="22" t="s">
        <v>148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customFormat="false" ht="39.75" hidden="false" customHeight="true" outlineLevel="0" collapsed="false">
      <c r="A8" s="7" t="s">
        <v>60</v>
      </c>
      <c r="B8" s="7" t="s">
        <v>61</v>
      </c>
      <c r="C8" s="7" t="s">
        <v>30</v>
      </c>
      <c r="D8" s="7" t="s">
        <v>62</v>
      </c>
      <c r="E8" s="7" t="s">
        <v>40</v>
      </c>
      <c r="F8" s="7" t="s">
        <v>63</v>
      </c>
      <c r="G8" s="7" t="s">
        <v>55</v>
      </c>
      <c r="H8" s="7" t="s">
        <v>64</v>
      </c>
      <c r="I8" s="7" t="s">
        <v>7</v>
      </c>
      <c r="J8" s="7" t="s">
        <v>20</v>
      </c>
      <c r="K8" s="7" t="s">
        <v>33</v>
      </c>
      <c r="L8" s="7" t="s">
        <v>58</v>
      </c>
      <c r="M8" s="7" t="s">
        <v>65</v>
      </c>
      <c r="N8" s="7" t="s">
        <v>66</v>
      </c>
    </row>
    <row r="9" customFormat="false" ht="18" hidden="false" customHeight="true" outlineLevel="0" collapsed="false">
      <c r="A9" s="23" t="s">
        <v>149</v>
      </c>
      <c r="B9" s="23" t="s">
        <v>150</v>
      </c>
      <c r="C9" s="23" t="s">
        <v>74</v>
      </c>
      <c r="D9" s="23" t="s">
        <v>123</v>
      </c>
      <c r="E9" s="23" t="s">
        <v>50</v>
      </c>
      <c r="F9" s="27" t="s">
        <v>75</v>
      </c>
      <c r="G9" s="25" t="n">
        <v>1400000</v>
      </c>
      <c r="H9" s="25" t="n">
        <v>2200000</v>
      </c>
      <c r="I9" s="25" t="n">
        <v>-800000</v>
      </c>
      <c r="J9" s="25" t="n">
        <v>140000</v>
      </c>
      <c r="K9" s="25" t="n">
        <v>1400000</v>
      </c>
      <c r="L9" s="25" t="n">
        <v>1609999</v>
      </c>
      <c r="M9" s="25" t="n">
        <v>1190000</v>
      </c>
      <c r="N9" s="23"/>
    </row>
    <row r="10" customFormat="false" ht="18" hidden="false" customHeight="true" outlineLevel="0" collapsed="false">
      <c r="A10" s="26" t="s">
        <v>151</v>
      </c>
      <c r="B10" s="26" t="s">
        <v>152</v>
      </c>
      <c r="C10" s="26" t="s">
        <v>109</v>
      </c>
      <c r="D10" s="26" t="s">
        <v>123</v>
      </c>
      <c r="E10" s="26" t="s">
        <v>50</v>
      </c>
      <c r="F10" s="24" t="s">
        <v>71</v>
      </c>
      <c r="G10" s="28" t="n">
        <v>420000</v>
      </c>
      <c r="H10" s="28" t="n">
        <v>30000</v>
      </c>
      <c r="I10" s="28" t="n">
        <v>390000</v>
      </c>
      <c r="J10" s="28" t="n">
        <v>210000</v>
      </c>
      <c r="K10" s="28" t="n">
        <v>420000</v>
      </c>
      <c r="L10" s="28" t="n">
        <v>482999</v>
      </c>
      <c r="M10" s="28" t="n">
        <v>357000</v>
      </c>
      <c r="N10" s="26"/>
    </row>
    <row r="11" customFormat="false" ht="18" hidden="false" customHeight="true" outlineLevel="0" collapsed="false">
      <c r="A11" s="23" t="s">
        <v>153</v>
      </c>
      <c r="B11" s="23" t="s">
        <v>154</v>
      </c>
      <c r="C11" s="23" t="s">
        <v>69</v>
      </c>
      <c r="D11" s="23" t="s">
        <v>104</v>
      </c>
      <c r="E11" s="23" t="s">
        <v>51</v>
      </c>
      <c r="F11" s="24" t="s">
        <v>71</v>
      </c>
      <c r="G11" s="25" t="n">
        <v>2800000</v>
      </c>
      <c r="H11" s="25" t="n">
        <v>200000</v>
      </c>
      <c r="I11" s="25" t="n">
        <v>2600000</v>
      </c>
      <c r="J11" s="25" t="n">
        <v>1120000</v>
      </c>
      <c r="K11" s="25" t="n">
        <v>2800000</v>
      </c>
      <c r="L11" s="25" t="n">
        <v>3219999</v>
      </c>
      <c r="M11" s="25" t="n">
        <v>2380000</v>
      </c>
      <c r="N11" s="23"/>
    </row>
    <row r="12" customFormat="false" ht="19.5" hidden="false" customHeight="true" outlineLevel="0" collapsed="false">
      <c r="A12" s="29" t="s">
        <v>76</v>
      </c>
      <c r="B12" s="29"/>
      <c r="C12" s="29"/>
      <c r="D12" s="29"/>
      <c r="E12" s="29"/>
      <c r="F12" s="29"/>
      <c r="G12" s="30" t="n">
        <f aca="false">SUM(G9:G11)</f>
        <v>4620000</v>
      </c>
      <c r="H12" s="30" t="n">
        <f aca="false">SUM(H9:H11)</f>
        <v>2430000</v>
      </c>
      <c r="I12" s="30" t="n">
        <f aca="false">SUM(I9:I11)</f>
        <v>2190000</v>
      </c>
      <c r="J12" s="30" t="n">
        <f aca="false">SUM(J9:J11)</f>
        <v>1470000</v>
      </c>
      <c r="K12" s="30" t="n">
        <f aca="false">SUM(K9:K11)</f>
        <v>4620000</v>
      </c>
      <c r="L12" s="30" t="n">
        <f aca="false">SUM(L9:L11)</f>
        <v>5312997</v>
      </c>
      <c r="M12" s="30" t="n">
        <f aca="false">SUM(M9:M11)</f>
        <v>3927000</v>
      </c>
    </row>
    <row r="14" customFormat="false" ht="21.75" hidden="false" customHeight="true" outlineLevel="0" collapsed="false">
      <c r="A14" s="31" t="s">
        <v>155</v>
      </c>
      <c r="B14" s="31"/>
      <c r="C14" s="31"/>
      <c r="D14" s="31"/>
      <c r="E14" s="31"/>
      <c r="F14" s="31"/>
      <c r="G14" s="31"/>
      <c r="H14" s="31"/>
    </row>
    <row r="15" customFormat="false" ht="36" hidden="false" customHeight="true" outlineLevel="0" collapsed="false">
      <c r="A15" s="32" t="s">
        <v>78</v>
      </c>
      <c r="B15" s="32" t="s">
        <v>79</v>
      </c>
      <c r="C15" s="32" t="s">
        <v>80</v>
      </c>
      <c r="D15" s="32" t="s">
        <v>81</v>
      </c>
      <c r="E15" s="32" t="s">
        <v>82</v>
      </c>
      <c r="F15" s="32" t="s">
        <v>18</v>
      </c>
      <c r="G15" s="32" t="s">
        <v>19</v>
      </c>
      <c r="H15" s="32" t="s">
        <v>83</v>
      </c>
    </row>
    <row r="16" customFormat="false" ht="19.5" hidden="false" customHeight="true" outlineLevel="0" collapsed="false">
      <c r="A16" s="33" t="s">
        <v>84</v>
      </c>
      <c r="B16" s="33" t="s">
        <v>85</v>
      </c>
      <c r="C16" s="34" t="n">
        <v>5313000</v>
      </c>
      <c r="D16" s="34" t="n">
        <f aca="false">C16-4620000</f>
        <v>693000</v>
      </c>
      <c r="E16" s="35" t="n">
        <f aca="false">IFERROR(C16/4620000-1,"-")</f>
        <v>0.15</v>
      </c>
      <c r="F16" s="34" t="n">
        <v>2187000</v>
      </c>
      <c r="G16" s="34" t="n">
        <f aca="false">C16-F16</f>
        <v>3126000</v>
      </c>
      <c r="H16" s="33" t="s">
        <v>86</v>
      </c>
    </row>
    <row r="17" customFormat="false" ht="19.5" hidden="false" customHeight="true" outlineLevel="0" collapsed="false">
      <c r="A17" s="36" t="s">
        <v>87</v>
      </c>
      <c r="B17" s="36" t="s">
        <v>88</v>
      </c>
      <c r="C17" s="37" t="n">
        <v>4620000</v>
      </c>
      <c r="D17" s="37" t="n">
        <f aca="false">C17-4620000</f>
        <v>0</v>
      </c>
      <c r="E17" s="38" t="n">
        <f aca="false">IFERROR(C17/4620000-1,"-")</f>
        <v>0</v>
      </c>
      <c r="F17" s="37" t="n">
        <v>2430000</v>
      </c>
      <c r="G17" s="37" t="n">
        <f aca="false">C17-F17</f>
        <v>2190000</v>
      </c>
      <c r="H17" s="36" t="s">
        <v>89</v>
      </c>
    </row>
    <row r="18" customFormat="false" ht="19.5" hidden="false" customHeight="true" outlineLevel="0" collapsed="false">
      <c r="A18" s="39" t="s">
        <v>90</v>
      </c>
      <c r="B18" s="39" t="s">
        <v>91</v>
      </c>
      <c r="C18" s="40" t="n">
        <v>3465000</v>
      </c>
      <c r="D18" s="40" t="n">
        <f aca="false">C18-4620000</f>
        <v>-1155000</v>
      </c>
      <c r="E18" s="41" t="n">
        <f aca="false">IFERROR(C18/4620000-1,"-")</f>
        <v>-0.25</v>
      </c>
      <c r="F18" s="40" t="n">
        <v>2673000</v>
      </c>
      <c r="G18" s="40" t="n">
        <f aca="false">C18-F18</f>
        <v>792000</v>
      </c>
      <c r="H18" s="39" t="s">
        <v>92</v>
      </c>
    </row>
  </sheetData>
  <mergeCells count="19">
    <mergeCell ref="A1:N1"/>
    <mergeCell ref="A3:N3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7:N7"/>
    <mergeCell ref="A12:F1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3" min="10" style="0" width="13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1.75" hidden="false" customHeight="true" outlineLevel="0" collapsed="false">
      <c r="A3" s="3" t="s">
        <v>157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54</v>
      </c>
      <c r="B4" s="4"/>
      <c r="C4" s="4" t="s">
        <v>55</v>
      </c>
      <c r="D4" s="4"/>
      <c r="E4" s="4" t="s">
        <v>56</v>
      </c>
      <c r="F4" s="4"/>
      <c r="G4" s="4" t="s">
        <v>7</v>
      </c>
      <c r="H4" s="4"/>
      <c r="I4" s="4" t="s">
        <v>8</v>
      </c>
      <c r="J4" s="4"/>
      <c r="K4" s="4" t="s">
        <v>57</v>
      </c>
      <c r="L4" s="4"/>
      <c r="M4" s="4" t="s">
        <v>58</v>
      </c>
      <c r="N4" s="4"/>
    </row>
    <row r="5" customFormat="false" ht="31.5" hidden="false" customHeight="true" outlineLevel="0" collapsed="false">
      <c r="A5" s="6" t="n">
        <f aca="false">COUNTIF('HC Detail'!$T$3:$T$22,"Distribution")+COUNTIF('Non-HC Detail'!$D$3:$D$17,"Distribution")</f>
        <v>2</v>
      </c>
      <c r="B5" s="6"/>
      <c r="C5" s="5" t="n">
        <f aca="false">SUMIF('Non-HC Detail'!$D$3:$D$17,"Distribution",'Non-HC Detail'!$I$3:$I$17)</f>
        <v>1100000</v>
      </c>
      <c r="D5" s="5"/>
      <c r="E5" s="5" t="n">
        <f aca="false">SUMIF('Non-HC Detail'!$D$3:$D$17,"Distribution",'Non-HC Detail'!$J$3:$J$17)</f>
        <v>160000</v>
      </c>
      <c r="F5" s="5"/>
      <c r="G5" s="5" t="n">
        <f aca="false">SUMIF('Non-HC Detail'!$D$3:$D$17,"Distribution",'Non-HC Detail'!$I$3:$I$17)-(SUMIF('Non-HC Detail'!$D$3:$D$17,"Distribution",'Non-HC Detail'!$J$3:$J$17))</f>
        <v>940000</v>
      </c>
      <c r="H5" s="5"/>
      <c r="I5" s="5" t="n">
        <f aca="false">SUMIF('Non-HC Detail'!$D$3:$D$17,"Distribution",'Non-HC Detail'!$L$3:$L$17)</f>
        <v>406000</v>
      </c>
      <c r="J5" s="5"/>
      <c r="K5" s="5" t="n">
        <f aca="false">SUMIF('Non-HC Detail'!$D$3:$D$17,"Distribution",'Non-HC Detail'!$I$3:$I$17)</f>
        <v>1100000</v>
      </c>
      <c r="L5" s="5"/>
      <c r="M5" s="5" t="n">
        <f aca="false">SUMIF('Non-HC Detail'!$D$3:$D$17,"Distribution",'Non-HC Detail'!$I$3:$I$17)*1.15</f>
        <v>1265000</v>
      </c>
      <c r="N5" s="5"/>
    </row>
    <row r="7" customFormat="false" ht="21.75" hidden="false" customHeight="true" outlineLevel="0" collapsed="false">
      <c r="A7" s="22" t="s">
        <v>158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customFormat="false" ht="39.75" hidden="false" customHeight="true" outlineLevel="0" collapsed="false">
      <c r="A8" s="7" t="s">
        <v>60</v>
      </c>
      <c r="B8" s="7" t="s">
        <v>61</v>
      </c>
      <c r="C8" s="7" t="s">
        <v>30</v>
      </c>
      <c r="D8" s="7" t="s">
        <v>62</v>
      </c>
      <c r="E8" s="7" t="s">
        <v>40</v>
      </c>
      <c r="F8" s="7" t="s">
        <v>63</v>
      </c>
      <c r="G8" s="7" t="s">
        <v>55</v>
      </c>
      <c r="H8" s="7" t="s">
        <v>64</v>
      </c>
      <c r="I8" s="7" t="s">
        <v>7</v>
      </c>
      <c r="J8" s="7" t="s">
        <v>20</v>
      </c>
      <c r="K8" s="7" t="s">
        <v>33</v>
      </c>
      <c r="L8" s="7" t="s">
        <v>58</v>
      </c>
      <c r="M8" s="7" t="s">
        <v>65</v>
      </c>
      <c r="N8" s="7" t="s">
        <v>66</v>
      </c>
    </row>
    <row r="9" customFormat="false" ht="18" hidden="false" customHeight="true" outlineLevel="0" collapsed="false">
      <c r="A9" s="23" t="s">
        <v>159</v>
      </c>
      <c r="B9" s="23" t="s">
        <v>160</v>
      </c>
      <c r="C9" s="23" t="s">
        <v>69</v>
      </c>
      <c r="D9" s="23" t="s">
        <v>70</v>
      </c>
      <c r="E9" s="23" t="s">
        <v>49</v>
      </c>
      <c r="F9" s="24" t="s">
        <v>71</v>
      </c>
      <c r="G9" s="25" t="n">
        <v>620000</v>
      </c>
      <c r="H9" s="25" t="n">
        <v>40000</v>
      </c>
      <c r="I9" s="25" t="n">
        <v>580000</v>
      </c>
      <c r="J9" s="25" t="n">
        <v>310000</v>
      </c>
      <c r="K9" s="25" t="n">
        <v>620000</v>
      </c>
      <c r="L9" s="25" t="n">
        <v>713000</v>
      </c>
      <c r="M9" s="25" t="n">
        <v>527000</v>
      </c>
      <c r="N9" s="23"/>
    </row>
    <row r="10" customFormat="false" ht="18" hidden="false" customHeight="true" outlineLevel="0" collapsed="false">
      <c r="A10" s="26" t="s">
        <v>161</v>
      </c>
      <c r="B10" s="26" t="s">
        <v>162</v>
      </c>
      <c r="C10" s="26" t="s">
        <v>74</v>
      </c>
      <c r="D10" s="26" t="s">
        <v>70</v>
      </c>
      <c r="E10" s="26" t="s">
        <v>49</v>
      </c>
      <c r="F10" s="27" t="s">
        <v>75</v>
      </c>
      <c r="G10" s="28" t="n">
        <v>480000</v>
      </c>
      <c r="H10" s="28" t="n">
        <v>120000</v>
      </c>
      <c r="I10" s="28" t="n">
        <v>360000</v>
      </c>
      <c r="J10" s="28" t="n">
        <v>96000</v>
      </c>
      <c r="K10" s="28" t="n">
        <v>480000</v>
      </c>
      <c r="L10" s="28" t="n">
        <v>552000</v>
      </c>
      <c r="M10" s="28" t="n">
        <v>408000</v>
      </c>
      <c r="N10" s="26"/>
    </row>
    <row r="11" customFormat="false" ht="19.5" hidden="false" customHeight="true" outlineLevel="0" collapsed="false">
      <c r="A11" s="29" t="s">
        <v>76</v>
      </c>
      <c r="B11" s="29"/>
      <c r="C11" s="29"/>
      <c r="D11" s="29"/>
      <c r="E11" s="29"/>
      <c r="F11" s="29"/>
      <c r="G11" s="30" t="n">
        <f aca="false">SUM(G9:G10)</f>
        <v>1100000</v>
      </c>
      <c r="H11" s="30" t="n">
        <f aca="false">SUM(H9:H10)</f>
        <v>160000</v>
      </c>
      <c r="I11" s="30" t="n">
        <f aca="false">SUM(I9:I10)</f>
        <v>940000</v>
      </c>
      <c r="J11" s="30" t="n">
        <f aca="false">SUM(J9:J10)</f>
        <v>406000</v>
      </c>
      <c r="K11" s="30" t="n">
        <f aca="false">SUM(K9:K10)</f>
        <v>1100000</v>
      </c>
      <c r="L11" s="30" t="n">
        <f aca="false">SUM(L9:L10)</f>
        <v>1265000</v>
      </c>
      <c r="M11" s="30" t="n">
        <f aca="false">SUM(M9:M10)</f>
        <v>935000</v>
      </c>
    </row>
    <row r="13" customFormat="false" ht="21.75" hidden="false" customHeight="true" outlineLevel="0" collapsed="false">
      <c r="A13" s="31" t="s">
        <v>163</v>
      </c>
      <c r="B13" s="31"/>
      <c r="C13" s="31"/>
      <c r="D13" s="31"/>
      <c r="E13" s="31"/>
      <c r="F13" s="31"/>
      <c r="G13" s="31"/>
      <c r="H13" s="31"/>
    </row>
    <row r="14" customFormat="false" ht="36" hidden="false" customHeight="true" outlineLevel="0" collapsed="false">
      <c r="A14" s="32" t="s">
        <v>78</v>
      </c>
      <c r="B14" s="32" t="s">
        <v>79</v>
      </c>
      <c r="C14" s="32" t="s">
        <v>80</v>
      </c>
      <c r="D14" s="32" t="s">
        <v>81</v>
      </c>
      <c r="E14" s="32" t="s">
        <v>82</v>
      </c>
      <c r="F14" s="32" t="s">
        <v>18</v>
      </c>
      <c r="G14" s="32" t="s">
        <v>19</v>
      </c>
      <c r="H14" s="32" t="s">
        <v>83</v>
      </c>
    </row>
    <row r="15" customFormat="false" ht="19.5" hidden="false" customHeight="true" outlineLevel="0" collapsed="false">
      <c r="A15" s="33" t="s">
        <v>84</v>
      </c>
      <c r="B15" s="33" t="s">
        <v>85</v>
      </c>
      <c r="C15" s="34" t="n">
        <v>1265000</v>
      </c>
      <c r="D15" s="34" t="n">
        <f aca="false">C15-1100000</f>
        <v>165000</v>
      </c>
      <c r="E15" s="35" t="n">
        <f aca="false">IFERROR(C15/1100000-1,"-")</f>
        <v>0.15</v>
      </c>
      <c r="F15" s="34" t="n">
        <v>144000</v>
      </c>
      <c r="G15" s="34" t="n">
        <f aca="false">C15-F15</f>
        <v>1121000</v>
      </c>
      <c r="H15" s="33" t="s">
        <v>86</v>
      </c>
    </row>
    <row r="16" customFormat="false" ht="19.5" hidden="false" customHeight="true" outlineLevel="0" collapsed="false">
      <c r="A16" s="36" t="s">
        <v>87</v>
      </c>
      <c r="B16" s="36" t="s">
        <v>88</v>
      </c>
      <c r="C16" s="37" t="n">
        <v>1100000</v>
      </c>
      <c r="D16" s="37" t="n">
        <f aca="false">C16-1100000</f>
        <v>0</v>
      </c>
      <c r="E16" s="38" t="n">
        <f aca="false">IFERROR(C16/1100000-1,"-")</f>
        <v>0</v>
      </c>
      <c r="F16" s="37" t="n">
        <v>160000</v>
      </c>
      <c r="G16" s="37" t="n">
        <f aca="false">C16-F16</f>
        <v>940000</v>
      </c>
      <c r="H16" s="36" t="s">
        <v>89</v>
      </c>
    </row>
    <row r="17" customFormat="false" ht="19.5" hidden="false" customHeight="true" outlineLevel="0" collapsed="false">
      <c r="A17" s="39" t="s">
        <v>90</v>
      </c>
      <c r="B17" s="39" t="s">
        <v>91</v>
      </c>
      <c r="C17" s="40" t="n">
        <v>825000</v>
      </c>
      <c r="D17" s="40" t="n">
        <f aca="false">C17-1100000</f>
        <v>-275000</v>
      </c>
      <c r="E17" s="41" t="n">
        <f aca="false">IFERROR(C17/1100000-1,"-")</f>
        <v>-0.25</v>
      </c>
      <c r="F17" s="40" t="n">
        <v>176000</v>
      </c>
      <c r="G17" s="40" t="n">
        <f aca="false">C17-F17</f>
        <v>649000</v>
      </c>
      <c r="H17" s="39" t="s">
        <v>92</v>
      </c>
    </row>
  </sheetData>
  <mergeCells count="19">
    <mergeCell ref="A1:N1"/>
    <mergeCell ref="A3:N3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7:N7"/>
    <mergeCell ref="A11:F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3" min="10" style="0" width="13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1.75" hidden="false" customHeight="true" outlineLevel="0" collapsed="false">
      <c r="A3" s="3" t="s">
        <v>165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54</v>
      </c>
      <c r="B4" s="4"/>
      <c r="C4" s="4" t="s">
        <v>55</v>
      </c>
      <c r="D4" s="4"/>
      <c r="E4" s="4" t="s">
        <v>56</v>
      </c>
      <c r="F4" s="4"/>
      <c r="G4" s="4" t="s">
        <v>7</v>
      </c>
      <c r="H4" s="4"/>
      <c r="I4" s="4" t="s">
        <v>8</v>
      </c>
      <c r="J4" s="4"/>
      <c r="K4" s="4" t="s">
        <v>57</v>
      </c>
      <c r="L4" s="4"/>
      <c r="M4" s="4" t="s">
        <v>58</v>
      </c>
      <c r="N4" s="4"/>
    </row>
    <row r="5" customFormat="false" ht="31.5" hidden="false" customHeight="true" outlineLevel="0" collapsed="false">
      <c r="A5" s="6" t="n">
        <f aca="false">COUNTIF('HC Detail'!$T$3:$T$22,"Public-to-Private")+COUNTIF('Non-HC Detail'!$D$3:$D$17,"Public-to-Private")</f>
        <v>2</v>
      </c>
      <c r="B5" s="6"/>
      <c r="C5" s="5" t="n">
        <f aca="false">SUMIF('Non-HC Detail'!$D$3:$D$17,"Public-to-Private",'Non-HC Detail'!$I$3:$I$17)</f>
        <v>1860000</v>
      </c>
      <c r="D5" s="5"/>
      <c r="E5" s="5" t="n">
        <f aca="false">SUMIF('Non-HC Detail'!$D$3:$D$17,"Public-to-Private",'Non-HC Detail'!$J$3:$J$17)</f>
        <v>180000</v>
      </c>
      <c r="F5" s="5"/>
      <c r="G5" s="5" t="n">
        <f aca="false">SUMIF('Non-HC Detail'!$D$3:$D$17,"Public-to-Private",'Non-HC Detail'!$I$3:$I$17)-(SUMIF('Non-HC Detail'!$D$3:$D$17,"Public-to-Private",'Non-HC Detail'!$J$3:$J$17))</f>
        <v>1680000</v>
      </c>
      <c r="H5" s="5"/>
      <c r="I5" s="5" t="n">
        <f aca="false">SUMIF('Non-HC Detail'!$D$3:$D$17,"Public-to-Private",'Non-HC Detail'!$L$3:$L$17)</f>
        <v>1480000</v>
      </c>
      <c r="J5" s="5"/>
      <c r="K5" s="5" t="n">
        <f aca="false">SUMIF('Non-HC Detail'!$D$3:$D$17,"Public-to-Private",'Non-HC Detail'!$I$3:$I$17)</f>
        <v>1860000</v>
      </c>
      <c r="L5" s="5"/>
      <c r="M5" s="5" t="n">
        <f aca="false">SUMIF('Non-HC Detail'!$D$3:$D$17,"Public-to-Private",'Non-HC Detail'!$I$3:$I$17)*1.15</f>
        <v>2139000</v>
      </c>
      <c r="N5" s="5"/>
    </row>
    <row r="7" customFormat="false" ht="21.75" hidden="false" customHeight="true" outlineLevel="0" collapsed="false">
      <c r="A7" s="22" t="s">
        <v>166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customFormat="false" ht="39.75" hidden="false" customHeight="true" outlineLevel="0" collapsed="false">
      <c r="A8" s="7" t="s">
        <v>60</v>
      </c>
      <c r="B8" s="7" t="s">
        <v>61</v>
      </c>
      <c r="C8" s="7" t="s">
        <v>30</v>
      </c>
      <c r="D8" s="7" t="s">
        <v>62</v>
      </c>
      <c r="E8" s="7" t="s">
        <v>40</v>
      </c>
      <c r="F8" s="7" t="s">
        <v>63</v>
      </c>
      <c r="G8" s="7" t="s">
        <v>55</v>
      </c>
      <c r="H8" s="7" t="s">
        <v>64</v>
      </c>
      <c r="I8" s="7" t="s">
        <v>7</v>
      </c>
      <c r="J8" s="7" t="s">
        <v>20</v>
      </c>
      <c r="K8" s="7" t="s">
        <v>33</v>
      </c>
      <c r="L8" s="7" t="s">
        <v>58</v>
      </c>
      <c r="M8" s="7" t="s">
        <v>65</v>
      </c>
      <c r="N8" s="7" t="s">
        <v>66</v>
      </c>
    </row>
    <row r="9" customFormat="false" ht="18" hidden="false" customHeight="true" outlineLevel="0" collapsed="false">
      <c r="A9" s="23" t="s">
        <v>167</v>
      </c>
      <c r="B9" s="23" t="s">
        <v>168</v>
      </c>
      <c r="C9" s="23" t="s">
        <v>74</v>
      </c>
      <c r="D9" s="23" t="s">
        <v>98</v>
      </c>
      <c r="E9" s="23" t="s">
        <v>50</v>
      </c>
      <c r="F9" s="24" t="s">
        <v>71</v>
      </c>
      <c r="G9" s="25" t="n">
        <v>760000</v>
      </c>
      <c r="H9" s="25" t="n">
        <v>180000</v>
      </c>
      <c r="I9" s="25" t="n">
        <v>580000</v>
      </c>
      <c r="J9" s="25" t="n">
        <v>380000</v>
      </c>
      <c r="K9" s="25" t="n">
        <v>760000</v>
      </c>
      <c r="L9" s="25" t="n">
        <v>873999</v>
      </c>
      <c r="M9" s="25" t="n">
        <v>646000</v>
      </c>
      <c r="N9" s="23"/>
    </row>
    <row r="10" customFormat="false" ht="18" hidden="false" customHeight="true" outlineLevel="0" collapsed="false">
      <c r="A10" s="26" t="s">
        <v>169</v>
      </c>
      <c r="B10" s="26" t="s">
        <v>170</v>
      </c>
      <c r="C10" s="26" t="s">
        <v>109</v>
      </c>
      <c r="D10" s="26" t="s">
        <v>98</v>
      </c>
      <c r="E10" s="26" t="s">
        <v>50</v>
      </c>
      <c r="F10" s="42" t="s">
        <v>120</v>
      </c>
      <c r="G10" s="28" t="n">
        <v>1100000</v>
      </c>
      <c r="H10" s="28" t="n">
        <v>0</v>
      </c>
      <c r="I10" s="28" t="n">
        <v>1100000</v>
      </c>
      <c r="J10" s="28" t="n">
        <v>1100000</v>
      </c>
      <c r="K10" s="28" t="n">
        <v>1100000</v>
      </c>
      <c r="L10" s="28" t="n">
        <v>1265000</v>
      </c>
      <c r="M10" s="28" t="n">
        <v>935000</v>
      </c>
      <c r="N10" s="26"/>
    </row>
    <row r="11" customFormat="false" ht="19.5" hidden="false" customHeight="true" outlineLevel="0" collapsed="false">
      <c r="A11" s="29" t="s">
        <v>76</v>
      </c>
      <c r="B11" s="29"/>
      <c r="C11" s="29"/>
      <c r="D11" s="29"/>
      <c r="E11" s="29"/>
      <c r="F11" s="29"/>
      <c r="G11" s="30" t="n">
        <f aca="false">SUM(G9:G10)</f>
        <v>1860000</v>
      </c>
      <c r="H11" s="30" t="n">
        <f aca="false">SUM(H9:H10)</f>
        <v>180000</v>
      </c>
      <c r="I11" s="30" t="n">
        <f aca="false">SUM(I9:I10)</f>
        <v>1680000</v>
      </c>
      <c r="J11" s="30" t="n">
        <f aca="false">SUM(J9:J10)</f>
        <v>1480000</v>
      </c>
      <c r="K11" s="30" t="n">
        <f aca="false">SUM(K9:K10)</f>
        <v>1860000</v>
      </c>
      <c r="L11" s="30" t="n">
        <f aca="false">SUM(L9:L10)</f>
        <v>2138999</v>
      </c>
      <c r="M11" s="30" t="n">
        <f aca="false">SUM(M9:M10)</f>
        <v>1581000</v>
      </c>
    </row>
    <row r="13" customFormat="false" ht="21.75" hidden="false" customHeight="true" outlineLevel="0" collapsed="false">
      <c r="A13" s="31" t="s">
        <v>171</v>
      </c>
      <c r="B13" s="31"/>
      <c r="C13" s="31"/>
      <c r="D13" s="31"/>
      <c r="E13" s="31"/>
      <c r="F13" s="31"/>
      <c r="G13" s="31"/>
      <c r="H13" s="31"/>
    </row>
    <row r="14" customFormat="false" ht="36" hidden="false" customHeight="true" outlineLevel="0" collapsed="false">
      <c r="A14" s="32" t="s">
        <v>78</v>
      </c>
      <c r="B14" s="32" t="s">
        <v>79</v>
      </c>
      <c r="C14" s="32" t="s">
        <v>80</v>
      </c>
      <c r="D14" s="32" t="s">
        <v>81</v>
      </c>
      <c r="E14" s="32" t="s">
        <v>82</v>
      </c>
      <c r="F14" s="32" t="s">
        <v>18</v>
      </c>
      <c r="G14" s="32" t="s">
        <v>19</v>
      </c>
      <c r="H14" s="32" t="s">
        <v>83</v>
      </c>
    </row>
    <row r="15" customFormat="false" ht="19.5" hidden="false" customHeight="true" outlineLevel="0" collapsed="false">
      <c r="A15" s="33" t="s">
        <v>84</v>
      </c>
      <c r="B15" s="33" t="s">
        <v>85</v>
      </c>
      <c r="C15" s="34" t="n">
        <v>2139000</v>
      </c>
      <c r="D15" s="34" t="n">
        <f aca="false">C15-1860000</f>
        <v>279000</v>
      </c>
      <c r="E15" s="35" t="n">
        <f aca="false">IFERROR(C15/1860000-1,"-")</f>
        <v>0.15</v>
      </c>
      <c r="F15" s="34" t="n">
        <v>162000</v>
      </c>
      <c r="G15" s="34" t="n">
        <f aca="false">C15-F15</f>
        <v>1977000</v>
      </c>
      <c r="H15" s="33" t="s">
        <v>86</v>
      </c>
    </row>
    <row r="16" customFormat="false" ht="19.5" hidden="false" customHeight="true" outlineLevel="0" collapsed="false">
      <c r="A16" s="36" t="s">
        <v>87</v>
      </c>
      <c r="B16" s="36" t="s">
        <v>88</v>
      </c>
      <c r="C16" s="37" t="n">
        <v>1860000</v>
      </c>
      <c r="D16" s="37" t="n">
        <f aca="false">C16-1860000</f>
        <v>0</v>
      </c>
      <c r="E16" s="38" t="n">
        <f aca="false">IFERROR(C16/1860000-1,"-")</f>
        <v>0</v>
      </c>
      <c r="F16" s="37" t="n">
        <v>180000</v>
      </c>
      <c r="G16" s="37" t="n">
        <f aca="false">C16-F16</f>
        <v>1680000</v>
      </c>
      <c r="H16" s="36" t="s">
        <v>89</v>
      </c>
    </row>
    <row r="17" customFormat="false" ht="19.5" hidden="false" customHeight="true" outlineLevel="0" collapsed="false">
      <c r="A17" s="39" t="s">
        <v>90</v>
      </c>
      <c r="B17" s="39" t="s">
        <v>91</v>
      </c>
      <c r="C17" s="40" t="n">
        <v>1395000</v>
      </c>
      <c r="D17" s="40" t="n">
        <f aca="false">C17-1860000</f>
        <v>-465000</v>
      </c>
      <c r="E17" s="41" t="n">
        <f aca="false">IFERROR(C17/1860000-1,"-")</f>
        <v>-0.25</v>
      </c>
      <c r="F17" s="40" t="n">
        <v>198000</v>
      </c>
      <c r="G17" s="40" t="n">
        <f aca="false">C17-F17</f>
        <v>1197000</v>
      </c>
      <c r="H17" s="39" t="s">
        <v>92</v>
      </c>
    </row>
  </sheetData>
  <mergeCells count="19">
    <mergeCell ref="A1:N1"/>
    <mergeCell ref="A3:N3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7:N7"/>
    <mergeCell ref="A11:F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6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0" min="8" style="0" width="14"/>
    <col collapsed="false" customWidth="true" hidden="false" outlineLevel="0" max="18" min="11" style="0" width="2"/>
  </cols>
  <sheetData>
    <row r="1" customFormat="false" ht="30" hidden="false" customHeight="true" outlineLevel="0" collapsed="false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A4" s="3" t="s">
        <v>174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39.75" hidden="false" customHeight="true" outlineLevel="0" collapsed="false">
      <c r="A5" s="7" t="s">
        <v>40</v>
      </c>
      <c r="B5" s="7" t="s">
        <v>175</v>
      </c>
      <c r="C5" s="7" t="s">
        <v>54</v>
      </c>
      <c r="D5" s="7" t="s">
        <v>55</v>
      </c>
      <c r="E5" s="7" t="s">
        <v>56</v>
      </c>
      <c r="F5" s="7" t="s">
        <v>7</v>
      </c>
      <c r="G5" s="7" t="s">
        <v>176</v>
      </c>
      <c r="H5" s="7" t="s">
        <v>177</v>
      </c>
      <c r="I5" s="7" t="s">
        <v>178</v>
      </c>
      <c r="J5" s="7" t="s">
        <v>179</v>
      </c>
    </row>
    <row r="6" customFormat="false" ht="19.5" hidden="false" customHeight="true" outlineLevel="0" collapsed="false">
      <c r="A6" s="8" t="s">
        <v>49</v>
      </c>
      <c r="B6" s="8" t="s">
        <v>180</v>
      </c>
      <c r="C6" s="9" t="n">
        <f aca="false">COUNTIF('HC Detail'!$U$3:$U$22,"COGS")+COUNTIF('Non-HC Detail'!$V$3:$V$17,"COGS")</f>
        <v>7</v>
      </c>
      <c r="D6" s="10" t="n">
        <f aca="false">SUMPRODUCT(('HC Detail'!$U$3:$U$22="COGS")*('HC Detail'!$Q$3:$Q$22))+SUMPRODUCT(('Non-HC Detail'!$V$3:$V$17="COGS")*('Non-HC Detail'!$I$3:$I$17))</f>
        <v>12325000</v>
      </c>
      <c r="E6" s="10" t="n">
        <f aca="false">SUMPRODUCT(('HC Detail'!$U$3:$U$22="COGS")*('HC Detail'!$P$3:$P$22))+SUMPRODUCT(('Non-HC Detail'!$V$3:$V$17="COGS")*('Non-HC Detail'!$J$3:$J$17))</f>
        <v>3190000</v>
      </c>
      <c r="F6" s="10" t="n">
        <f aca="false">D6-E6</f>
        <v>9135000</v>
      </c>
      <c r="G6" s="10" t="n">
        <f aca="false">SUMPRODUCT(('HC Detail'!$U$3:$U$22="COGS")*('HC Detail'!$R$3:$R$22))+SUMPRODUCT(('Non-HC Detail'!$V$3:$V$17="COGS")*('Non-HC Detail'!$L$3:$L$17))</f>
        <v>4176000</v>
      </c>
      <c r="H6" s="10" t="n">
        <f aca="false">D6*0.9</f>
        <v>11092500</v>
      </c>
      <c r="I6" s="10" t="n">
        <f aca="false">D6</f>
        <v>12325000</v>
      </c>
      <c r="J6" s="16" t="n">
        <f aca="false">IFERROR(D6/D9,"-")</f>
        <v>0.510267450525793</v>
      </c>
    </row>
    <row r="7" customFormat="false" ht="19.5" hidden="false" customHeight="true" outlineLevel="0" collapsed="false">
      <c r="A7" s="11" t="s">
        <v>50</v>
      </c>
      <c r="B7" s="11" t="s">
        <v>181</v>
      </c>
      <c r="C7" s="12" t="n">
        <f aca="false">COUNTIF('HC Detail'!$U$3:$U$22,"SGA")+COUNTIF('Non-HC Detail'!$V$3:$V$17,"SGA")</f>
        <v>27</v>
      </c>
      <c r="D7" s="13" t="n">
        <f aca="false">SUMPRODUCT(('HC Detail'!$U$3:$U$22="SGA")*('HC Detail'!$Q$3:$Q$22))+SUMPRODUCT(('Non-HC Detail'!$V$3:$V$17="SGA")*('Non-HC Detail'!$I$3:$I$17))</f>
        <v>9029000</v>
      </c>
      <c r="E7" s="13" t="n">
        <f aca="false">SUMPRODUCT(('HC Detail'!$U$3:$U$22="SGA")*('HC Detail'!$P$3:$P$22))+SUMPRODUCT(('Non-HC Detail'!$V$3:$V$17="SGA")*('Non-HC Detail'!$J$3:$J$17))</f>
        <v>3700115.38461538</v>
      </c>
      <c r="F7" s="13" t="n">
        <f aca="false">D7-E7</f>
        <v>5328884.61538462</v>
      </c>
      <c r="G7" s="13" t="n">
        <f aca="false">SUMPRODUCT(('HC Detail'!$U$3:$U$22="SGA")*('HC Detail'!$R$3:$R$22))+SUMPRODUCT(('Non-HC Detail'!$V$3:$V$17="SGA")*('Non-HC Detail'!$L$3:$L$17))</f>
        <v>4209525</v>
      </c>
      <c r="H7" s="13" t="n">
        <f aca="false">D7*0.9</f>
        <v>8126100</v>
      </c>
      <c r="I7" s="13" t="n">
        <f aca="false">D7</f>
        <v>9029000</v>
      </c>
      <c r="J7" s="17" t="n">
        <f aca="false">IFERROR(D7/D9,"-")</f>
        <v>0.373809720957191</v>
      </c>
    </row>
    <row r="8" customFormat="false" ht="19.5" hidden="false" customHeight="true" outlineLevel="0" collapsed="false">
      <c r="A8" s="8" t="s">
        <v>51</v>
      </c>
      <c r="B8" s="8" t="s">
        <v>182</v>
      </c>
      <c r="C8" s="9" t="n">
        <f aca="false">COUNTIF('HC Detail'!$U$3:$U$22,"RD")+COUNTIF('Non-HC Detail'!$V$3:$V$17,"RD")</f>
        <v>1</v>
      </c>
      <c r="D8" s="10" t="n">
        <f aca="false">SUMPRODUCT(('HC Detail'!$U$3:$U$22="RD")*('HC Detail'!$Q$3:$Q$22))+SUMPRODUCT(('Non-HC Detail'!$V$3:$V$17="RD")*('Non-HC Detail'!$I$3:$I$17))</f>
        <v>2800000</v>
      </c>
      <c r="E8" s="10" t="n">
        <f aca="false">SUMPRODUCT(('HC Detail'!$U$3:$U$22="RD")*('HC Detail'!$P$3:$P$22))+SUMPRODUCT(('Non-HC Detail'!$V$3:$V$17="RD")*('Non-HC Detail'!$J$3:$J$17))</f>
        <v>200000</v>
      </c>
      <c r="F8" s="10" t="n">
        <f aca="false">D8-E8</f>
        <v>2600000</v>
      </c>
      <c r="G8" s="10" t="n">
        <f aca="false">SUMPRODUCT(('HC Detail'!$U$3:$U$22="RD")*('HC Detail'!$R$3:$R$22))+SUMPRODUCT(('Non-HC Detail'!$V$3:$V$17="RD")*('Non-HC Detail'!$L$3:$L$17))</f>
        <v>1120000</v>
      </c>
      <c r="H8" s="10" t="n">
        <f aca="false">D8*0.9</f>
        <v>2520000</v>
      </c>
      <c r="I8" s="10" t="n">
        <f aca="false">D8</f>
        <v>2800000</v>
      </c>
      <c r="J8" s="16" t="n">
        <f aca="false">IFERROR(D8/D9,"-")</f>
        <v>0.115922828517016</v>
      </c>
    </row>
    <row r="9" customFormat="false" ht="21.75" hidden="false" customHeight="true" outlineLevel="0" collapsed="false">
      <c r="A9" s="18" t="s">
        <v>28</v>
      </c>
      <c r="B9" s="18"/>
      <c r="C9" s="43" t="n">
        <f aca="false">SUM(C6:C8)</f>
        <v>35</v>
      </c>
      <c r="D9" s="15" t="n">
        <f aca="false">SUM(D6:D8)</f>
        <v>24154000</v>
      </c>
      <c r="E9" s="15" t="n">
        <f aca="false">SUM(E6:E8)</f>
        <v>7090115.38461538</v>
      </c>
      <c r="F9" s="15" t="n">
        <f aca="false">SUM(F6:F8)</f>
        <v>17063884.6153846</v>
      </c>
      <c r="G9" s="15" t="n">
        <f aca="false">SUM(G6:G8)</f>
        <v>9505525</v>
      </c>
      <c r="H9" s="15" t="n">
        <f aca="false">SUM(H6:H8)</f>
        <v>21738600</v>
      </c>
      <c r="I9" s="15" t="n">
        <f aca="false">SUM(I6:I8)</f>
        <v>24154000</v>
      </c>
      <c r="J9" s="44" t="s">
        <v>38</v>
      </c>
    </row>
    <row r="11" customFormat="false" ht="21.75" hidden="false" customHeight="true" outlineLevel="0" collapsed="false">
      <c r="A11" s="3" t="s">
        <v>183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8" hidden="false" customHeight="true" outlineLevel="0" collapsed="false">
      <c r="A12" s="45" t="s">
        <v>184</v>
      </c>
      <c r="B12" s="45"/>
      <c r="C12" s="46" t="n">
        <v>850000000</v>
      </c>
    </row>
    <row r="13" customFormat="false" ht="18" hidden="false" customHeight="true" outlineLevel="0" collapsed="false">
      <c r="A13" s="47" t="s">
        <v>185</v>
      </c>
      <c r="B13" s="47"/>
      <c r="C13" s="46" t="n">
        <v>-520000000</v>
      </c>
    </row>
    <row r="14" customFormat="false" ht="18" hidden="false" customHeight="true" outlineLevel="0" collapsed="false">
      <c r="A14" s="47" t="s">
        <v>186</v>
      </c>
      <c r="B14" s="47"/>
      <c r="C14" s="46" t="n">
        <v>-185000000</v>
      </c>
    </row>
    <row r="15" customFormat="false" ht="18" hidden="false" customHeight="true" outlineLevel="0" collapsed="false">
      <c r="A15" s="47" t="s">
        <v>187</v>
      </c>
      <c r="B15" s="47"/>
      <c r="C15" s="46" t="n">
        <v>-68000000</v>
      </c>
    </row>
    <row r="17" customFormat="false" ht="39.75" hidden="false" customHeight="true" outlineLevel="0" collapsed="false">
      <c r="A17" s="7" t="s">
        <v>188</v>
      </c>
      <c r="B17" s="7" t="s">
        <v>189</v>
      </c>
      <c r="C17" s="7" t="s">
        <v>190</v>
      </c>
      <c r="D17" s="7" t="s">
        <v>191</v>
      </c>
      <c r="E17" s="7" t="s">
        <v>192</v>
      </c>
      <c r="F17" s="7" t="s">
        <v>193</v>
      </c>
      <c r="G17" s="7" t="s">
        <v>194</v>
      </c>
      <c r="H17" s="7" t="s">
        <v>195</v>
      </c>
      <c r="I17" s="7" t="s">
        <v>177</v>
      </c>
      <c r="J17" s="7" t="s">
        <v>178</v>
      </c>
    </row>
    <row r="18" customFormat="false" ht="19.5" hidden="false" customHeight="true" outlineLevel="0" collapsed="false">
      <c r="A18" s="48" t="s">
        <v>196</v>
      </c>
      <c r="B18" s="48" t="s">
        <v>196</v>
      </c>
      <c r="C18" s="49" t="n">
        <f aca="false">C12</f>
        <v>850000000</v>
      </c>
      <c r="D18" s="49" t="n">
        <v>0</v>
      </c>
      <c r="E18" s="49" t="n">
        <f aca="false">C18+D18</f>
        <v>850000000</v>
      </c>
      <c r="F18" s="49" t="n">
        <f aca="false">E18-C18</f>
        <v>0</v>
      </c>
      <c r="G18" s="50" t="n">
        <f aca="false">IFERROR(F18/ABS(C18),0)</f>
        <v>0</v>
      </c>
      <c r="H18" s="49" t="n">
        <v>0</v>
      </c>
      <c r="I18" s="49" t="n">
        <v>0</v>
      </c>
      <c r="J18" s="49" t="n">
        <v>0</v>
      </c>
    </row>
    <row r="19" customFormat="false" ht="19.5" hidden="false" customHeight="true" outlineLevel="0" collapsed="false">
      <c r="A19" s="51" t="s">
        <v>197</v>
      </c>
      <c r="B19" s="51" t="s">
        <v>49</v>
      </c>
      <c r="C19" s="52" t="n">
        <f aca="false">C13</f>
        <v>-520000000</v>
      </c>
      <c r="D19" s="52" t="n">
        <f aca="false">D6</f>
        <v>12325000</v>
      </c>
      <c r="E19" s="52" t="n">
        <f aca="false">C19+D19</f>
        <v>-507675000</v>
      </c>
      <c r="F19" s="52" t="n">
        <f aca="false">E19-C19</f>
        <v>12325000</v>
      </c>
      <c r="G19" s="53" t="n">
        <f aca="false">IFERROR(F19/ABS(C19),0)</f>
        <v>0.0237019230769231</v>
      </c>
      <c r="H19" s="52" t="n">
        <f aca="false">G6</f>
        <v>4176000</v>
      </c>
      <c r="I19" s="52" t="n">
        <f aca="false">H6</f>
        <v>11092500</v>
      </c>
      <c r="J19" s="52" t="n">
        <f aca="false">I6</f>
        <v>12325000</v>
      </c>
    </row>
    <row r="20" customFormat="false" ht="19.5" hidden="false" customHeight="true" outlineLevel="0" collapsed="false">
      <c r="A20" s="54" t="s">
        <v>198</v>
      </c>
      <c r="B20" s="54" t="s">
        <v>199</v>
      </c>
      <c r="C20" s="55" t="n">
        <f aca="false">C18+C19</f>
        <v>330000000</v>
      </c>
      <c r="D20" s="55"/>
      <c r="E20" s="55" t="n">
        <f aca="false">E18+E19</f>
        <v>342325000</v>
      </c>
      <c r="F20" s="55" t="n">
        <f aca="false">E20-C20</f>
        <v>12325000</v>
      </c>
      <c r="G20" s="56" t="n">
        <f aca="false">IFERROR(F20/ABS(C20),0)</f>
        <v>0.0373484848484848</v>
      </c>
      <c r="H20" s="55" t="n">
        <f aca="false">H19</f>
        <v>4176000</v>
      </c>
      <c r="I20" s="55" t="n">
        <f aca="false">I19</f>
        <v>11092500</v>
      </c>
      <c r="J20" s="55" t="n">
        <f aca="false">J19</f>
        <v>12325000</v>
      </c>
    </row>
    <row r="21" customFormat="false" ht="19.5" hidden="false" customHeight="true" outlineLevel="0" collapsed="false">
      <c r="A21" s="54" t="s">
        <v>200</v>
      </c>
      <c r="B21" s="54" t="s">
        <v>201</v>
      </c>
      <c r="C21" s="56" t="n">
        <f aca="false">IFERROR(C20/C18,0)</f>
        <v>0.388235294117647</v>
      </c>
      <c r="D21" s="54"/>
      <c r="E21" s="56" t="n">
        <f aca="false">IFERROR(E20/E18,0)</f>
        <v>0.402735294117647</v>
      </c>
      <c r="F21" s="56" t="n">
        <f aca="false">E21-C21</f>
        <v>0.0145</v>
      </c>
      <c r="G21" s="56"/>
      <c r="H21" s="54"/>
      <c r="I21" s="54"/>
      <c r="J21" s="54"/>
    </row>
    <row r="22" customFormat="false" ht="19.5" hidden="false" customHeight="true" outlineLevel="0" collapsed="false">
      <c r="A22" s="48" t="s">
        <v>202</v>
      </c>
      <c r="B22" s="48" t="s">
        <v>50</v>
      </c>
      <c r="C22" s="49" t="n">
        <f aca="false">C14</f>
        <v>-185000000</v>
      </c>
      <c r="D22" s="49" t="n">
        <f aca="false">D7</f>
        <v>9029000</v>
      </c>
      <c r="E22" s="49" t="n">
        <f aca="false">C22+D22</f>
        <v>-175971000</v>
      </c>
      <c r="F22" s="49" t="n">
        <f aca="false">E22-C22</f>
        <v>9029000</v>
      </c>
      <c r="G22" s="50" t="n">
        <f aca="false">IFERROR(F22/ABS(C22),0)</f>
        <v>0.0488054054054054</v>
      </c>
      <c r="H22" s="49" t="n">
        <f aca="false">G7</f>
        <v>4209525</v>
      </c>
      <c r="I22" s="49" t="n">
        <f aca="false">H7</f>
        <v>8126100</v>
      </c>
      <c r="J22" s="49" t="n">
        <f aca="false">I7</f>
        <v>9029000</v>
      </c>
    </row>
    <row r="23" customFormat="false" ht="19.5" hidden="false" customHeight="true" outlineLevel="0" collapsed="false">
      <c r="A23" s="51" t="s">
        <v>203</v>
      </c>
      <c r="B23" s="51" t="s">
        <v>51</v>
      </c>
      <c r="C23" s="52" t="n">
        <f aca="false">C15</f>
        <v>-68000000</v>
      </c>
      <c r="D23" s="52" t="n">
        <f aca="false">D8</f>
        <v>2800000</v>
      </c>
      <c r="E23" s="52" t="n">
        <f aca="false">C23+D23</f>
        <v>-65200000</v>
      </c>
      <c r="F23" s="52" t="n">
        <f aca="false">E23-C23</f>
        <v>2800000</v>
      </c>
      <c r="G23" s="53" t="n">
        <f aca="false">IFERROR(F23/ABS(C23),0)</f>
        <v>0.0411764705882353</v>
      </c>
      <c r="H23" s="52" t="n">
        <f aca="false">G8</f>
        <v>1120000</v>
      </c>
      <c r="I23" s="52" t="n">
        <f aca="false">H8</f>
        <v>2520000</v>
      </c>
      <c r="J23" s="52" t="n">
        <f aca="false">I8</f>
        <v>2800000</v>
      </c>
    </row>
    <row r="24" customFormat="false" ht="19.5" hidden="false" customHeight="true" outlineLevel="0" collapsed="false">
      <c r="A24" s="54" t="s">
        <v>204</v>
      </c>
      <c r="B24" s="54" t="s">
        <v>204</v>
      </c>
      <c r="C24" s="55" t="n">
        <f aca="false">C18+C19+C22+C23</f>
        <v>77000000</v>
      </c>
      <c r="D24" s="55"/>
      <c r="E24" s="55" t="n">
        <f aca="false">E18+E19+E22+E23</f>
        <v>101154000</v>
      </c>
      <c r="F24" s="55" t="n">
        <f aca="false">E24-C24</f>
        <v>24154000</v>
      </c>
      <c r="G24" s="56" t="n">
        <f aca="false">IFERROR(F24/ABS(C24),0)</f>
        <v>0.313688311688312</v>
      </c>
      <c r="H24" s="55" t="n">
        <f aca="false">H19+H22+H23</f>
        <v>9505525</v>
      </c>
      <c r="I24" s="55" t="n">
        <f aca="false">I19+I22+I23</f>
        <v>21738600</v>
      </c>
      <c r="J24" s="55" t="n">
        <f aca="false">J19+J22+J23</f>
        <v>24154000</v>
      </c>
    </row>
    <row r="25" customFormat="false" ht="19.5" hidden="false" customHeight="true" outlineLevel="0" collapsed="false">
      <c r="A25" s="54" t="s">
        <v>205</v>
      </c>
      <c r="B25" s="54" t="s">
        <v>206</v>
      </c>
      <c r="C25" s="56" t="n">
        <f aca="false">IFERROR(C24/C18,0)</f>
        <v>0.0905882352941177</v>
      </c>
      <c r="D25" s="54"/>
      <c r="E25" s="56" t="n">
        <f aca="false">IFERROR(E24/E18,0)</f>
        <v>0.119004705882353</v>
      </c>
      <c r="F25" s="56" t="n">
        <f aca="false">E25-C25</f>
        <v>0.0284164705882353</v>
      </c>
      <c r="G25" s="56"/>
      <c r="H25" s="54"/>
      <c r="I25" s="54"/>
      <c r="J25" s="54"/>
    </row>
    <row r="28" customFormat="false" ht="21.75" hidden="false" customHeight="true" outlineLevel="0" collapsed="false">
      <c r="A28" s="3" t="s">
        <v>207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8" hidden="false" customHeight="true" outlineLevel="0" collapsed="false">
      <c r="A29" s="48" t="s">
        <v>208</v>
      </c>
      <c r="B29" s="48" t="s">
        <v>209</v>
      </c>
      <c r="C29" s="57" t="n">
        <v>85</v>
      </c>
      <c r="D29" s="48" t="s">
        <v>210</v>
      </c>
    </row>
    <row r="30" customFormat="false" ht="18" hidden="false" customHeight="true" outlineLevel="0" collapsed="false">
      <c r="A30" s="51" t="s">
        <v>211</v>
      </c>
      <c r="B30" s="51" t="s">
        <v>212</v>
      </c>
      <c r="C30" s="58" t="n">
        <v>12.5</v>
      </c>
      <c r="D30" s="51" t="s">
        <v>213</v>
      </c>
    </row>
    <row r="31" customFormat="false" ht="18" hidden="false" customHeight="true" outlineLevel="0" collapsed="false">
      <c r="A31" s="48" t="s">
        <v>214</v>
      </c>
      <c r="B31" s="48" t="s">
        <v>215</v>
      </c>
      <c r="C31" s="57" t="n">
        <f aca="false">I9/1000000</f>
        <v>24.154</v>
      </c>
      <c r="D31" s="48" t="s">
        <v>216</v>
      </c>
    </row>
    <row r="32" customFormat="false" ht="18" hidden="false" customHeight="true" outlineLevel="0" collapsed="false">
      <c r="A32" s="51" t="s">
        <v>217</v>
      </c>
      <c r="B32" s="51" t="s">
        <v>218</v>
      </c>
      <c r="C32" s="58" t="n">
        <f aca="false">C29+C31</f>
        <v>109.154</v>
      </c>
      <c r="D32" s="51" t="s">
        <v>216</v>
      </c>
    </row>
    <row r="33" customFormat="false" ht="18" hidden="false" customHeight="true" outlineLevel="0" collapsed="false">
      <c r="A33" s="48" t="s">
        <v>219</v>
      </c>
      <c r="B33" s="48" t="s">
        <v>220</v>
      </c>
      <c r="C33" s="57" t="n">
        <v>420</v>
      </c>
      <c r="D33" s="48" t="s">
        <v>210</v>
      </c>
    </row>
    <row r="34" customFormat="false" ht="18" hidden="false" customHeight="true" outlineLevel="0" collapsed="false">
      <c r="A34" s="51" t="s">
        <v>221</v>
      </c>
      <c r="B34" s="51" t="s">
        <v>222</v>
      </c>
      <c r="C34" s="53" t="n">
        <v>10</v>
      </c>
      <c r="D34" s="51" t="s">
        <v>223</v>
      </c>
    </row>
    <row r="35" customFormat="false" ht="18" hidden="false" customHeight="true" outlineLevel="0" collapsed="false">
      <c r="A35" s="48" t="s">
        <v>224</v>
      </c>
      <c r="B35" s="48" t="s">
        <v>225</v>
      </c>
      <c r="C35" s="57" t="n">
        <v>5</v>
      </c>
      <c r="D35" s="48" t="s">
        <v>226</v>
      </c>
    </row>
    <row r="36" customFormat="false" ht="18" hidden="false" customHeight="true" outlineLevel="0" collapsed="false">
      <c r="A36" s="51" t="s">
        <v>227</v>
      </c>
      <c r="B36" s="51" t="s">
        <v>228</v>
      </c>
      <c r="C36" s="53" t="n">
        <v>4</v>
      </c>
      <c r="D36" s="51" t="s">
        <v>223</v>
      </c>
    </row>
    <row r="37" customFormat="false" ht="18" hidden="false" customHeight="true" outlineLevel="0" collapsed="false">
      <c r="A37" s="48" t="s">
        <v>229</v>
      </c>
      <c r="B37" s="48" t="s">
        <v>230</v>
      </c>
      <c r="C37" s="57" t="n">
        <v>1.5</v>
      </c>
      <c r="D37" s="48" t="s">
        <v>231</v>
      </c>
    </row>
    <row r="40" customFormat="false" ht="21.75" hidden="false" customHeight="true" outlineLevel="0" collapsed="false">
      <c r="A40" s="3" t="s">
        <v>232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8" hidden="false" customHeight="true" outlineLevel="0" collapsed="false">
      <c r="A41" s="59" t="s">
        <v>233</v>
      </c>
      <c r="B41" s="59"/>
      <c r="C41" s="59"/>
      <c r="D41" s="59"/>
    </row>
    <row r="42" customFormat="false" ht="18" hidden="false" customHeight="true" outlineLevel="0" collapsed="false">
      <c r="A42" s="60" t="s">
        <v>234</v>
      </c>
      <c r="B42" s="61" t="n">
        <v>11.5</v>
      </c>
    </row>
    <row r="43" customFormat="false" ht="18" hidden="false" customHeight="true" outlineLevel="0" collapsed="false">
      <c r="A43" s="60" t="s">
        <v>235</v>
      </c>
      <c r="B43" s="61" t="n">
        <v>13</v>
      </c>
    </row>
    <row r="44" customFormat="false" ht="18" hidden="false" customHeight="true" outlineLevel="0" collapsed="false">
      <c r="A44" s="60" t="s">
        <v>236</v>
      </c>
      <c r="B44" s="61" t="n">
        <v>14.5</v>
      </c>
    </row>
    <row r="45" customFormat="false" ht="18" hidden="false" customHeight="true" outlineLevel="0" collapsed="false">
      <c r="A45" s="60" t="s">
        <v>237</v>
      </c>
      <c r="B45" s="62" t="n">
        <v>0.75</v>
      </c>
    </row>
    <row r="46" customFormat="false" ht="18" hidden="false" customHeight="true" outlineLevel="0" collapsed="false">
      <c r="A46" s="60" t="s">
        <v>238</v>
      </c>
      <c r="B46" s="62" t="n">
        <v>1</v>
      </c>
    </row>
    <row r="47" customFormat="false" ht="18" hidden="false" customHeight="true" outlineLevel="0" collapsed="false">
      <c r="A47" s="60" t="s">
        <v>239</v>
      </c>
      <c r="B47" s="62" t="n">
        <v>1</v>
      </c>
    </row>
    <row r="49" customFormat="false" ht="31.5" hidden="false" customHeight="true" outlineLevel="0" collapsed="false">
      <c r="A49" s="7" t="s">
        <v>240</v>
      </c>
      <c r="B49" s="7" t="s">
        <v>241</v>
      </c>
      <c r="C49" s="63" t="s">
        <v>90</v>
      </c>
      <c r="D49" s="64" t="s">
        <v>242</v>
      </c>
      <c r="E49" s="65" t="s">
        <v>84</v>
      </c>
    </row>
    <row r="50" customFormat="false" ht="18.75" hidden="false" customHeight="true" outlineLevel="0" collapsed="false">
      <c r="A50" s="48" t="s">
        <v>243</v>
      </c>
      <c r="B50" s="48" t="s">
        <v>244</v>
      </c>
      <c r="C50" s="66" t="n">
        <f aca="false">C12/1000000</f>
        <v>850</v>
      </c>
      <c r="D50" s="67" t="n">
        <f aca="false">C12/1000000</f>
        <v>850</v>
      </c>
      <c r="E50" s="68" t="n">
        <f aca="false">C12/1000000</f>
        <v>850</v>
      </c>
    </row>
    <row r="51" customFormat="false" ht="18.75" hidden="false" customHeight="true" outlineLevel="0" collapsed="false">
      <c r="A51" s="51" t="s">
        <v>245</v>
      </c>
      <c r="B51" s="51" t="s">
        <v>246</v>
      </c>
      <c r="C51" s="66" t="n">
        <f aca="false">C50*(1+C36/100)^C35</f>
        <v>1034.15496704</v>
      </c>
      <c r="D51" s="69" t="n">
        <f aca="false">D50*(1+C36/100)^C35</f>
        <v>1034.15496704</v>
      </c>
      <c r="E51" s="68" t="n">
        <f aca="false">E50*(1+C36/100)^C35</f>
        <v>1034.15496704</v>
      </c>
    </row>
    <row r="52" customFormat="false" ht="18.75" hidden="false" customHeight="true" outlineLevel="0" collapsed="false">
      <c r="A52" s="48" t="s">
        <v>208</v>
      </c>
      <c r="B52" s="48" t="s">
        <v>247</v>
      </c>
      <c r="C52" s="66" t="n">
        <f aca="false">C29</f>
        <v>85</v>
      </c>
      <c r="D52" s="67" t="n">
        <f aca="false">C29</f>
        <v>85</v>
      </c>
      <c r="E52" s="68" t="n">
        <f aca="false">C29</f>
        <v>85</v>
      </c>
    </row>
    <row r="53" customFormat="false" ht="18.75" hidden="false" customHeight="true" outlineLevel="0" collapsed="false">
      <c r="A53" s="51" t="s">
        <v>248</v>
      </c>
      <c r="B53" s="51" t="s">
        <v>249</v>
      </c>
      <c r="C53" s="66" t="n">
        <f aca="false">C31*C45</f>
        <v>0</v>
      </c>
      <c r="D53" s="69" t="n">
        <f aca="false">C31*C46</f>
        <v>0</v>
      </c>
      <c r="E53" s="68" t="n">
        <f aca="false">C31*C47</f>
        <v>0</v>
      </c>
    </row>
    <row r="54" customFormat="false" ht="18.75" hidden="false" customHeight="true" outlineLevel="0" collapsed="false">
      <c r="A54" s="48" t="s">
        <v>250</v>
      </c>
      <c r="B54" s="48" t="s">
        <v>251</v>
      </c>
      <c r="C54" s="66" t="n">
        <f aca="false">E51*C37/100*0.5</f>
        <v>7.7561622528</v>
      </c>
      <c r="D54" s="67" t="n">
        <f aca="false">D51*C37/100</f>
        <v>15.5123245056</v>
      </c>
      <c r="E54" s="68" t="n">
        <f aca="false">E51*C37/100</f>
        <v>15.5123245056</v>
      </c>
    </row>
    <row r="55" customFormat="false" ht="18.75" hidden="false" customHeight="true" outlineLevel="0" collapsed="false">
      <c r="A55" s="54" t="s">
        <v>252</v>
      </c>
      <c r="B55" s="54" t="s">
        <v>253</v>
      </c>
      <c r="C55" s="70" t="n">
        <f aca="false">C52+C53+C54</f>
        <v>92.7561622528</v>
      </c>
      <c r="D55" s="71" t="n">
        <f aca="false">D52+D53+D54</f>
        <v>100.5123245056</v>
      </c>
      <c r="E55" s="72" t="n">
        <f aca="false">E52+E53+E54</f>
        <v>100.5123245056</v>
      </c>
    </row>
    <row r="56" customFormat="false" ht="18.75" hidden="false" customHeight="true" outlineLevel="0" collapsed="false">
      <c r="A56" s="48" t="s">
        <v>254</v>
      </c>
      <c r="B56" s="48" t="s">
        <v>255</v>
      </c>
      <c r="C56" s="73" t="n">
        <f aca="false">IFERROR(C55/C51,0)</f>
        <v>0.0896927106759352</v>
      </c>
      <c r="D56" s="74" t="n">
        <f aca="false">IFERROR(D55/D51,0)</f>
        <v>0.0971927106759352</v>
      </c>
      <c r="E56" s="75" t="n">
        <f aca="false">IFERROR(E55/E51,0)</f>
        <v>0.0971927106759352</v>
      </c>
    </row>
    <row r="57" customFormat="false" ht="18.75" hidden="false" customHeight="true" outlineLevel="0" collapsed="false">
      <c r="A57" s="51" t="s">
        <v>256</v>
      </c>
      <c r="B57" s="51" t="s">
        <v>257</v>
      </c>
      <c r="C57" s="76" t="n">
        <f aca="false">C42</f>
        <v>0</v>
      </c>
      <c r="D57" s="77" t="n">
        <f aca="false">C43</f>
        <v>0</v>
      </c>
      <c r="E57" s="78" t="n">
        <f aca="false">C44</f>
        <v>0</v>
      </c>
    </row>
    <row r="58" customFormat="false" ht="18.75" hidden="false" customHeight="true" outlineLevel="0" collapsed="false">
      <c r="A58" s="54" t="s">
        <v>258</v>
      </c>
      <c r="B58" s="54" t="s">
        <v>259</v>
      </c>
      <c r="C58" s="70" t="n">
        <f aca="false">C55*C57</f>
        <v>0</v>
      </c>
      <c r="D58" s="79" t="n">
        <f aca="false">D55*D57</f>
        <v>0</v>
      </c>
      <c r="E58" s="72" t="n">
        <f aca="false">E55*E57</f>
        <v>0</v>
      </c>
    </row>
    <row r="59" customFormat="false" ht="18.75" hidden="false" customHeight="true" outlineLevel="0" collapsed="false">
      <c r="A59" s="51" t="s">
        <v>260</v>
      </c>
      <c r="B59" s="51" t="s">
        <v>261</v>
      </c>
      <c r="C59" s="66" t="n">
        <f aca="false">C29*C30</f>
        <v>1062.5</v>
      </c>
      <c r="D59" s="69" t="n">
        <f aca="false">C29*C30</f>
        <v>1062.5</v>
      </c>
      <c r="E59" s="68" t="n">
        <f aca="false">C29*C30</f>
        <v>1062.5</v>
      </c>
    </row>
    <row r="60" customFormat="false" ht="18.75" hidden="false" customHeight="true" outlineLevel="0" collapsed="false">
      <c r="A60" s="48" t="s">
        <v>262</v>
      </c>
      <c r="B60" s="48" t="s">
        <v>247</v>
      </c>
      <c r="C60" s="66" t="n">
        <f aca="false">C33</f>
        <v>420</v>
      </c>
      <c r="D60" s="67" t="n">
        <f aca="false">C33</f>
        <v>420</v>
      </c>
      <c r="E60" s="68" t="n">
        <f aca="false">C33</f>
        <v>420</v>
      </c>
    </row>
    <row r="61" customFormat="false" ht="18.75" hidden="false" customHeight="true" outlineLevel="0" collapsed="false">
      <c r="A61" s="54" t="s">
        <v>263</v>
      </c>
      <c r="B61" s="54" t="s">
        <v>264</v>
      </c>
      <c r="C61" s="70" t="n">
        <f aca="false">C59-C60</f>
        <v>642.5</v>
      </c>
      <c r="D61" s="71" t="n">
        <f aca="false">D59-D60</f>
        <v>642.5</v>
      </c>
      <c r="E61" s="72" t="n">
        <f aca="false">E59-E60</f>
        <v>642.5</v>
      </c>
    </row>
    <row r="62" customFormat="false" ht="18.75" hidden="false" customHeight="true" outlineLevel="0" collapsed="false">
      <c r="A62" s="54" t="s">
        <v>265</v>
      </c>
      <c r="B62" s="54" t="s">
        <v>266</v>
      </c>
      <c r="C62" s="70" t="n">
        <f aca="false">C58-C60</f>
        <v>-420</v>
      </c>
      <c r="D62" s="79" t="n">
        <f aca="false">D58-D60</f>
        <v>-420</v>
      </c>
      <c r="E62" s="72" t="n">
        <f aca="false">E58-E60</f>
        <v>-420</v>
      </c>
    </row>
    <row r="63" customFormat="false" ht="18.75" hidden="false" customHeight="true" outlineLevel="0" collapsed="false">
      <c r="A63" s="54" t="s">
        <v>267</v>
      </c>
      <c r="B63" s="54" t="s">
        <v>268</v>
      </c>
      <c r="C63" s="80" t="n">
        <f aca="false">IFERROR(C62/C61,0)</f>
        <v>-0.653696498054475</v>
      </c>
      <c r="D63" s="81" t="n">
        <f aca="false">IFERROR(D62/D61,0)</f>
        <v>-0.653696498054475</v>
      </c>
      <c r="E63" s="82" t="n">
        <f aca="false">IFERROR(E62/E61,0)</f>
        <v>-0.653696498054475</v>
      </c>
    </row>
    <row r="64" customFormat="false" ht="18.75" hidden="false" customHeight="true" outlineLevel="0" collapsed="false">
      <c r="A64" s="54" t="s">
        <v>269</v>
      </c>
      <c r="B64" s="54" t="s">
        <v>270</v>
      </c>
      <c r="C64" s="70" t="n">
        <f aca="false">C62-C61</f>
        <v>-1062.5</v>
      </c>
      <c r="D64" s="79" t="n">
        <f aca="false">D62-D61</f>
        <v>-1062.5</v>
      </c>
      <c r="E64" s="72" t="n">
        <f aca="false">E62-E61</f>
        <v>-1062.5</v>
      </c>
    </row>
    <row r="65" customFormat="false" ht="18.75" hidden="false" customHeight="true" outlineLevel="0" collapsed="false">
      <c r="A65" s="54" t="s">
        <v>271</v>
      </c>
      <c r="B65" s="54" t="s">
        <v>272</v>
      </c>
      <c r="C65" s="83" t="n">
        <f aca="false">IFERROR(C63^(1/C35)-1,0)</f>
        <v>-1.91849169057802</v>
      </c>
      <c r="D65" s="84" t="n">
        <f aca="false">IFERROR(D63^(1/C35)-1,0)</f>
        <v>-1.91849169057802</v>
      </c>
      <c r="E65" s="85" t="n">
        <f aca="false">IFERROR(E63^(1/C35)-1,0)</f>
        <v>-1.91849169057802</v>
      </c>
    </row>
    <row r="67" customFormat="false" ht="21.75" hidden="false" customHeight="true" outlineLevel="0" collapsed="false">
      <c r="A67" s="3" t="s">
        <v>273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21.75" hidden="false" customHeight="true" outlineLevel="0" collapsed="false">
      <c r="A68" s="29" t="s">
        <v>274</v>
      </c>
      <c r="B68" s="7" t="s">
        <v>275</v>
      </c>
      <c r="C68" s="7" t="s">
        <v>276</v>
      </c>
      <c r="D68" s="7" t="s">
        <v>277</v>
      </c>
      <c r="E68" s="7" t="s">
        <v>278</v>
      </c>
      <c r="F68" s="7" t="s">
        <v>279</v>
      </c>
      <c r="G68" s="7" t="s">
        <v>280</v>
      </c>
      <c r="H68" s="7" t="s">
        <v>281</v>
      </c>
    </row>
    <row r="69" customFormat="false" ht="18" hidden="false" customHeight="true" outlineLevel="0" collapsed="false">
      <c r="A69" s="7" t="s">
        <v>282</v>
      </c>
      <c r="B69" s="86" t="n">
        <f aca="false">IFERROR(((10*(C29+C31*0.6+C51*C37/100))-C33)/(C29*C30-C33),"-")</f>
        <v>1.13626030358911</v>
      </c>
      <c r="C69" s="86" t="n">
        <f aca="false">IFERROR(((11*(C29+C31*0.6+C51*C37/100))-C33)/(C29*C30-C33),"-")</f>
        <v>1.31525598375346</v>
      </c>
      <c r="D69" s="86" t="n">
        <f aca="false">IFERROR(((12*(C29+C31*0.6+C51*C37/100))-C33)/(C29*C30-C33),"-")</f>
        <v>1.49425166391782</v>
      </c>
      <c r="E69" s="86" t="n">
        <f aca="false">IFERROR(((13*(C29+C31*0.6+C51*C37/100))-C33)/(C29*C30-C33),"-")</f>
        <v>1.67324734408218</v>
      </c>
      <c r="F69" s="86" t="n">
        <f aca="false">IFERROR(((14*(C29+C31*0.6+C51*C37/100))-C33)/(C29*C30-C33),"-")</f>
        <v>1.85224302424654</v>
      </c>
      <c r="G69" s="86" t="n">
        <f aca="false">IFERROR(((15*(C29+C31*0.6+C51*C37/100))-C33)/(C29*C30-C33),"-")</f>
        <v>2.0312387044109</v>
      </c>
      <c r="H69" s="87" t="n">
        <f aca="false">IFERROR(((16*(C29+C31*0.6+C51*C37/100))-C33)/(C29*C30-C33),"-")</f>
        <v>2.21023438457525</v>
      </c>
    </row>
    <row r="70" customFormat="false" ht="18" hidden="false" customHeight="true" outlineLevel="0" collapsed="false">
      <c r="A70" s="7" t="s">
        <v>283</v>
      </c>
      <c r="B70" s="86" t="n">
        <f aca="false">IFERROR(((10*(C29+C31*0.7+C51*C37/100))-C33)/(C29*C30-C33),"-")</f>
        <v>1.17385407790817</v>
      </c>
      <c r="C70" s="86" t="n">
        <f aca="false">IFERROR(((11*(C29+C31*0.7+C51*C37/100))-C33)/(C29*C30-C33),"-")</f>
        <v>1.35660913550444</v>
      </c>
      <c r="D70" s="86" t="n">
        <f aca="false">IFERROR(((12*(C29+C31*0.7+C51*C37/100))-C33)/(C29*C30-C33),"-")</f>
        <v>1.5393641931007</v>
      </c>
      <c r="E70" s="86" t="n">
        <f aca="false">IFERROR(((13*(C29+C31*0.7+C51*C37/100))-C33)/(C29*C30-C33),"-")</f>
        <v>1.72211925069697</v>
      </c>
      <c r="F70" s="86" t="n">
        <f aca="false">IFERROR(((14*(C29+C31*0.7+C51*C37/100))-C33)/(C29*C30-C33),"-")</f>
        <v>1.90487430829323</v>
      </c>
      <c r="G70" s="87" t="n">
        <f aca="false">IFERROR(((15*(C29+C31*0.7+C51*C37/100))-C33)/(C29*C30-C33),"-")</f>
        <v>2.08762936588949</v>
      </c>
      <c r="H70" s="87" t="n">
        <f aca="false">IFERROR(((16*(C29+C31*0.7+C51*C37/100))-C33)/(C29*C30-C33),"-")</f>
        <v>2.27038442348576</v>
      </c>
    </row>
    <row r="71" customFormat="false" ht="18" hidden="false" customHeight="true" outlineLevel="0" collapsed="false">
      <c r="A71" s="7" t="s">
        <v>284</v>
      </c>
      <c r="B71" s="86" t="n">
        <f aca="false">IFERROR(((10*(C29+C31*0.8+C51*C37/100))-C33)/(C29*C30-C33),"-")</f>
        <v>1.21144785222724</v>
      </c>
      <c r="C71" s="86" t="n">
        <f aca="false">IFERROR(((11*(C29+C31*0.8+C51*C37/100))-C33)/(C29*C30-C33),"-")</f>
        <v>1.39796228725541</v>
      </c>
      <c r="D71" s="86" t="n">
        <f aca="false">IFERROR(((12*(C29+C31*0.8+C51*C37/100))-C33)/(C29*C30-C33),"-")</f>
        <v>1.58447672228358</v>
      </c>
      <c r="E71" s="86" t="n">
        <f aca="false">IFERROR(((13*(C29+C31*0.8+C51*C37/100))-C33)/(C29*C30-C33),"-")</f>
        <v>1.77099115731175</v>
      </c>
      <c r="F71" s="86" t="n">
        <f aca="false">IFERROR(((14*(C29+C31*0.8+C51*C37/100))-C33)/(C29*C30-C33),"-")</f>
        <v>1.95750559233992</v>
      </c>
      <c r="G71" s="87" t="n">
        <f aca="false">IFERROR(((15*(C29+C31*0.8+C51*C37/100))-C33)/(C29*C30-C33),"-")</f>
        <v>2.14402002736809</v>
      </c>
      <c r="H71" s="87" t="n">
        <f aca="false">IFERROR(((16*(C29+C31*0.8+C51*C37/100))-C33)/(C29*C30-C33),"-")</f>
        <v>2.33053446239627</v>
      </c>
    </row>
    <row r="72" customFormat="false" ht="18" hidden="false" customHeight="true" outlineLevel="0" collapsed="false">
      <c r="A72" s="7" t="s">
        <v>285</v>
      </c>
      <c r="B72" s="86" t="n">
        <f aca="false">IFERROR(((10*(C29+C31*0.9+C51*C37/100))-C33)/(C29*C30-C33),"-")</f>
        <v>1.2490416265463</v>
      </c>
      <c r="C72" s="86" t="n">
        <f aca="false">IFERROR(((11*(C29+C31*0.9+C51*C37/100))-C33)/(C29*C30-C33),"-")</f>
        <v>1.43931543900638</v>
      </c>
      <c r="D72" s="86" t="n">
        <f aca="false">IFERROR(((12*(C29+C31*0.9+C51*C37/100))-C33)/(C29*C30-C33),"-")</f>
        <v>1.62958925146646</v>
      </c>
      <c r="E72" s="86" t="n">
        <f aca="false">IFERROR(((13*(C29+C31*0.9+C51*C37/100))-C33)/(C29*C30-C33),"-")</f>
        <v>1.81986306392654</v>
      </c>
      <c r="F72" s="86" t="n">
        <f aca="false">IFERROR(((14*(C29+C31*0.9+C51*C37/100))-C33)/(C29*C30-C33),"-")</f>
        <v>2.01013687638662</v>
      </c>
      <c r="G72" s="87" t="n">
        <f aca="false">IFERROR(((15*(C29+C31*0.9+C51*C37/100))-C33)/(C29*C30-C33),"-")</f>
        <v>2.20041068884669</v>
      </c>
      <c r="H72" s="87" t="n">
        <f aca="false">IFERROR(((16*(C29+C31*0.9+C51*C37/100))-C33)/(C29*C30-C33),"-")</f>
        <v>2.39068450130677</v>
      </c>
    </row>
    <row r="73" customFormat="false" ht="18" hidden="false" customHeight="true" outlineLevel="0" collapsed="false">
      <c r="A73" s="7" t="s">
        <v>286</v>
      </c>
      <c r="B73" s="86" t="n">
        <f aca="false">IFERROR(((10*(C29+C31*1+C51*C37/100))-C33)/(C29*C30-C33),"-")</f>
        <v>1.28663540086537</v>
      </c>
      <c r="C73" s="86" t="n">
        <f aca="false">IFERROR(((11*(C29+C31*1+C51*C37/100))-C33)/(C29*C30-C33),"-")</f>
        <v>1.48066859075735</v>
      </c>
      <c r="D73" s="86" t="n">
        <f aca="false">IFERROR(((12*(C29+C31*1+C51*C37/100))-C33)/(C29*C30-C33),"-")</f>
        <v>1.67470178064934</v>
      </c>
      <c r="E73" s="86" t="n">
        <f aca="false">IFERROR(((13*(C29+C31*1+C51*C37/100))-C33)/(C29*C30-C33),"-")</f>
        <v>1.86873497054132</v>
      </c>
      <c r="F73" s="86" t="n">
        <f aca="false">IFERROR(((14*(C29+C31*1+C51*C37/100))-C33)/(C29*C30-C33),"-")</f>
        <v>2.06276816043331</v>
      </c>
      <c r="G73" s="87" t="n">
        <f aca="false">IFERROR(((15*(C29+C31*1+C51*C37/100))-C33)/(C29*C30-C33),"-")</f>
        <v>2.25680135032529</v>
      </c>
      <c r="H73" s="87" t="n">
        <f aca="false">IFERROR(((16*(C29+C31*1+C51*C37/100))-C33)/(C29*C30-C33),"-")</f>
        <v>2.45083454021728</v>
      </c>
    </row>
    <row r="74" customFormat="false" ht="18" hidden="false" customHeight="true" outlineLevel="0" collapsed="false">
      <c r="A74" s="7" t="s">
        <v>287</v>
      </c>
      <c r="B74" s="86" t="n">
        <f aca="false">IFERROR(((10*(C29+C31*1.1+C51*C37/100))-C33)/(C29*C30-C33),"-")</f>
        <v>1.32422917518444</v>
      </c>
      <c r="C74" s="86" t="n">
        <f aca="false">IFERROR(((11*(C29+C31*1.1+C51*C37/100))-C33)/(C29*C30-C33),"-")</f>
        <v>1.52202174250833</v>
      </c>
      <c r="D74" s="86" t="n">
        <f aca="false">IFERROR(((12*(C29+C31*1.1+C51*C37/100))-C33)/(C29*C30-C33),"-")</f>
        <v>1.71981430983222</v>
      </c>
      <c r="E74" s="86" t="n">
        <f aca="false">IFERROR(((13*(C29+C31*1.1+C51*C37/100))-C33)/(C29*C30-C33),"-")</f>
        <v>1.91760687715611</v>
      </c>
      <c r="F74" s="87" t="n">
        <f aca="false">IFERROR(((14*(C29+C31*1.1+C51*C37/100))-C33)/(C29*C30-C33),"-")</f>
        <v>2.11539944448</v>
      </c>
      <c r="G74" s="87" t="n">
        <f aca="false">IFERROR(((15*(C29+C31*1.1+C51*C37/100))-C33)/(C29*C30-C33),"-")</f>
        <v>2.31319201180389</v>
      </c>
      <c r="H74" s="87" t="n">
        <f aca="false">IFERROR(((16*(C29+C31*1.1+C51*C37/100))-C33)/(C29*C30-C33),"-")</f>
        <v>2.51098457912778</v>
      </c>
    </row>
    <row r="75" customFormat="false" ht="18" hidden="false" customHeight="true" outlineLevel="0" collapsed="false">
      <c r="A75" s="7" t="s">
        <v>288</v>
      </c>
      <c r="B75" s="86" t="n">
        <f aca="false">IFERROR(((10*(C29+C31*1.15+C51*C37/100))-C33)/(C29*C30-C33),"-")</f>
        <v>1.34302606234397</v>
      </c>
      <c r="C75" s="86" t="n">
        <f aca="false">IFERROR(((11*(C29+C31*1.15+C51*C37/100))-C33)/(C29*C30-C33),"-")</f>
        <v>1.54269831838381</v>
      </c>
      <c r="D75" s="86" t="n">
        <f aca="false">IFERROR(((12*(C29+C31*1.15+C51*C37/100))-C33)/(C29*C30-C33),"-")</f>
        <v>1.74237057442366</v>
      </c>
      <c r="E75" s="86" t="n">
        <f aca="false">IFERROR(((13*(C29+C31*1.15+C51*C37/100))-C33)/(C29*C30-C33),"-")</f>
        <v>1.9420428304635</v>
      </c>
      <c r="F75" s="87" t="n">
        <f aca="false">IFERROR(((14*(C29+C31*1.15+C51*C37/100))-C33)/(C29*C30-C33),"-")</f>
        <v>2.14171508650335</v>
      </c>
      <c r="G75" s="87" t="n">
        <f aca="false">IFERROR(((15*(C29+C31*1.15+C51*C37/100))-C33)/(C29*C30-C33),"-")</f>
        <v>2.34138734254319</v>
      </c>
      <c r="H75" s="87" t="n">
        <f aca="false">IFERROR(((16*(C29+C31*1.15+C51*C37/100))-C33)/(C29*C30-C33),"-")</f>
        <v>2.54105959858303</v>
      </c>
    </row>
  </sheetData>
  <mergeCells count="13">
    <mergeCell ref="A1:R1"/>
    <mergeCell ref="A2:R2"/>
    <mergeCell ref="A4:R4"/>
    <mergeCell ref="A9:B9"/>
    <mergeCell ref="A11:R11"/>
    <mergeCell ref="A12:B12"/>
    <mergeCell ref="A13:B13"/>
    <mergeCell ref="A14:B14"/>
    <mergeCell ref="A15:B15"/>
    <mergeCell ref="A28:R28"/>
    <mergeCell ref="A40:R40"/>
    <mergeCell ref="A41:D41"/>
    <mergeCell ref="A67:L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X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8"/>
    <col collapsed="false" customWidth="true" hidden="false" outlineLevel="0" max="11" min="11" style="0" width="34"/>
    <col collapsed="false" customWidth="true" hidden="false" outlineLevel="0" max="14" min="12" style="0" width="11"/>
    <col collapsed="false" customWidth="true" hidden="false" outlineLevel="0" max="18" min="15" style="0" width="13"/>
    <col collapsed="false" customWidth="true" hidden="false" outlineLevel="0" max="21" min="19" style="0" width="7"/>
    <col collapsed="false" customWidth="true" hidden="false" outlineLevel="0" max="22" min="22" style="0" width="10"/>
    <col collapsed="false" customWidth="true" hidden="false" outlineLevel="0" max="23" min="23" style="0" width="28"/>
  </cols>
  <sheetData>
    <row r="1" customFormat="false" ht="30" hidden="false" customHeight="true" outlineLevel="0" collapsed="false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39.75" hidden="false" customHeight="true" outlineLevel="0" collapsed="false">
      <c r="A2" s="7" t="s">
        <v>60</v>
      </c>
      <c r="B2" s="7" t="s">
        <v>290</v>
      </c>
      <c r="C2" s="7" t="s">
        <v>291</v>
      </c>
      <c r="D2" s="7" t="s">
        <v>292</v>
      </c>
      <c r="E2" s="7" t="s">
        <v>293</v>
      </c>
      <c r="F2" s="7" t="s">
        <v>294</v>
      </c>
      <c r="G2" s="7" t="s">
        <v>61</v>
      </c>
      <c r="H2" s="7" t="s">
        <v>62</v>
      </c>
      <c r="I2" s="7" t="s">
        <v>295</v>
      </c>
      <c r="J2" s="7" t="s">
        <v>296</v>
      </c>
      <c r="K2" s="7" t="s">
        <v>79</v>
      </c>
      <c r="L2" s="7" t="s">
        <v>63</v>
      </c>
      <c r="M2" s="7" t="s">
        <v>297</v>
      </c>
      <c r="N2" s="7" t="s">
        <v>298</v>
      </c>
      <c r="O2" s="7" t="s">
        <v>190</v>
      </c>
      <c r="P2" s="7" t="s">
        <v>55</v>
      </c>
      <c r="Q2" s="7" t="s">
        <v>64</v>
      </c>
      <c r="R2" s="7" t="s">
        <v>299</v>
      </c>
      <c r="S2" s="7" t="s">
        <v>300</v>
      </c>
      <c r="T2" s="7" t="s">
        <v>301</v>
      </c>
      <c r="U2" s="7" t="s">
        <v>302</v>
      </c>
      <c r="V2" s="7" t="s">
        <v>303</v>
      </c>
      <c r="W2" s="7" t="s">
        <v>66</v>
      </c>
    </row>
    <row r="3" customFormat="false" ht="18" hidden="false" customHeight="true" outlineLevel="0" collapsed="false">
      <c r="A3" s="36" t="s">
        <v>96</v>
      </c>
      <c r="B3" s="36" t="s">
        <v>304</v>
      </c>
      <c r="C3" s="36" t="s">
        <v>69</v>
      </c>
      <c r="D3" s="36" t="s">
        <v>305</v>
      </c>
      <c r="E3" s="36" t="s">
        <v>22</v>
      </c>
      <c r="F3" s="36" t="s">
        <v>306</v>
      </c>
      <c r="G3" s="36" t="s">
        <v>97</v>
      </c>
      <c r="H3" s="36" t="s">
        <v>98</v>
      </c>
      <c r="I3" s="36" t="s">
        <v>306</v>
      </c>
      <c r="J3" s="36" t="s">
        <v>307</v>
      </c>
      <c r="K3" s="36" t="s">
        <v>308</v>
      </c>
      <c r="L3" s="24" t="s">
        <v>71</v>
      </c>
      <c r="M3" s="36" t="s">
        <v>309</v>
      </c>
      <c r="N3" s="36" t="s">
        <v>310</v>
      </c>
      <c r="O3" s="88" t="n">
        <v>320000</v>
      </c>
      <c r="P3" s="88" t="n">
        <v>320000</v>
      </c>
      <c r="Q3" s="88" t="n">
        <v>45000</v>
      </c>
      <c r="R3" s="88" t="n">
        <v>300000</v>
      </c>
      <c r="S3" s="89" t="n">
        <v>0.5</v>
      </c>
      <c r="T3" s="89" t="n">
        <v>1</v>
      </c>
      <c r="U3" s="89" t="n">
        <v>1</v>
      </c>
      <c r="V3" s="36" t="s">
        <v>50</v>
      </c>
      <c r="W3" s="36"/>
    </row>
    <row r="4" customFormat="false" ht="18" hidden="false" customHeight="true" outlineLevel="0" collapsed="false">
      <c r="A4" s="90" t="s">
        <v>99</v>
      </c>
      <c r="B4" s="90" t="s">
        <v>304</v>
      </c>
      <c r="C4" s="90" t="s">
        <v>69</v>
      </c>
      <c r="D4" s="90" t="s">
        <v>305</v>
      </c>
      <c r="E4" s="90" t="s">
        <v>22</v>
      </c>
      <c r="F4" s="90" t="s">
        <v>311</v>
      </c>
      <c r="G4" s="90" t="s">
        <v>100</v>
      </c>
      <c r="H4" s="90" t="s">
        <v>101</v>
      </c>
      <c r="I4" s="90" t="s">
        <v>312</v>
      </c>
      <c r="J4" s="90" t="s">
        <v>307</v>
      </c>
      <c r="K4" s="90" t="s">
        <v>313</v>
      </c>
      <c r="L4" s="24" t="s">
        <v>71</v>
      </c>
      <c r="M4" s="90" t="s">
        <v>309</v>
      </c>
      <c r="N4" s="90" t="s">
        <v>314</v>
      </c>
      <c r="O4" s="91" t="n">
        <v>385000</v>
      </c>
      <c r="P4" s="91" t="n">
        <v>385000</v>
      </c>
      <c r="Q4" s="91" t="n">
        <v>65000</v>
      </c>
      <c r="R4" s="91" t="n">
        <v>370000</v>
      </c>
      <c r="S4" s="92" t="n">
        <v>0.4</v>
      </c>
      <c r="T4" s="92" t="n">
        <v>1</v>
      </c>
      <c r="U4" s="92" t="n">
        <v>1</v>
      </c>
      <c r="V4" s="90" t="s">
        <v>50</v>
      </c>
      <c r="W4" s="90"/>
    </row>
    <row r="5" customFormat="false" ht="18" hidden="false" customHeight="true" outlineLevel="0" collapsed="false">
      <c r="A5" s="36" t="s">
        <v>102</v>
      </c>
      <c r="B5" s="36" t="s">
        <v>304</v>
      </c>
      <c r="C5" s="36" t="s">
        <v>74</v>
      </c>
      <c r="D5" s="36" t="s">
        <v>305</v>
      </c>
      <c r="E5" s="36" t="s">
        <v>22</v>
      </c>
      <c r="F5" s="36" t="s">
        <v>315</v>
      </c>
      <c r="G5" s="36" t="s">
        <v>103</v>
      </c>
      <c r="H5" s="36" t="s">
        <v>104</v>
      </c>
      <c r="I5" s="36" t="s">
        <v>316</v>
      </c>
      <c r="J5" s="36" t="s">
        <v>317</v>
      </c>
      <c r="K5" s="36" t="s">
        <v>318</v>
      </c>
      <c r="L5" s="24" t="s">
        <v>71</v>
      </c>
      <c r="M5" s="36" t="s">
        <v>319</v>
      </c>
      <c r="N5" s="36" t="s">
        <v>314</v>
      </c>
      <c r="O5" s="88" t="n">
        <v>480000</v>
      </c>
      <c r="P5" s="88" t="n">
        <v>480000</v>
      </c>
      <c r="Q5" s="88" t="n">
        <v>60000</v>
      </c>
      <c r="R5" s="88" t="n">
        <v>450000</v>
      </c>
      <c r="S5" s="89" t="n">
        <v>0.5</v>
      </c>
      <c r="T5" s="89" t="n">
        <v>1</v>
      </c>
      <c r="U5" s="89" t="n">
        <v>1</v>
      </c>
      <c r="V5" s="36" t="s">
        <v>50</v>
      </c>
      <c r="W5" s="36"/>
    </row>
    <row r="6" customFormat="false" ht="18" hidden="false" customHeight="true" outlineLevel="0" collapsed="false">
      <c r="A6" s="90" t="s">
        <v>105</v>
      </c>
      <c r="B6" s="90" t="s">
        <v>304</v>
      </c>
      <c r="C6" s="90" t="s">
        <v>74</v>
      </c>
      <c r="D6" s="90" t="s">
        <v>305</v>
      </c>
      <c r="E6" s="90" t="s">
        <v>22</v>
      </c>
      <c r="F6" s="90" t="s">
        <v>320</v>
      </c>
      <c r="G6" s="90" t="s">
        <v>106</v>
      </c>
      <c r="H6" s="90" t="s">
        <v>70</v>
      </c>
      <c r="I6" s="90" t="s">
        <v>321</v>
      </c>
      <c r="J6" s="90" t="s">
        <v>317</v>
      </c>
      <c r="K6" s="90" t="s">
        <v>322</v>
      </c>
      <c r="L6" s="27" t="s">
        <v>75</v>
      </c>
      <c r="M6" s="90" t="s">
        <v>323</v>
      </c>
      <c r="N6" s="90" t="s">
        <v>324</v>
      </c>
      <c r="O6" s="91" t="n">
        <v>275000</v>
      </c>
      <c r="P6" s="91" t="n">
        <v>275000</v>
      </c>
      <c r="Q6" s="91" t="n">
        <v>35000</v>
      </c>
      <c r="R6" s="91" t="n">
        <v>260000</v>
      </c>
      <c r="S6" s="92" t="n">
        <v>0.2</v>
      </c>
      <c r="T6" s="92" t="n">
        <v>0.8</v>
      </c>
      <c r="U6" s="92" t="n">
        <v>1</v>
      </c>
      <c r="V6" s="90" t="s">
        <v>50</v>
      </c>
      <c r="W6" s="90"/>
    </row>
    <row r="7" customFormat="false" ht="18" hidden="false" customHeight="true" outlineLevel="0" collapsed="false">
      <c r="A7" s="36" t="s">
        <v>107</v>
      </c>
      <c r="B7" s="36" t="s">
        <v>304</v>
      </c>
      <c r="C7" s="36" t="s">
        <v>109</v>
      </c>
      <c r="D7" s="36" t="s">
        <v>305</v>
      </c>
      <c r="E7" s="36" t="s">
        <v>22</v>
      </c>
      <c r="F7" s="36" t="s">
        <v>315</v>
      </c>
      <c r="G7" s="36" t="s">
        <v>108</v>
      </c>
      <c r="H7" s="36" t="s">
        <v>110</v>
      </c>
      <c r="I7" s="36" t="s">
        <v>24</v>
      </c>
      <c r="J7" s="36" t="s">
        <v>325</v>
      </c>
      <c r="K7" s="36" t="s">
        <v>326</v>
      </c>
      <c r="L7" s="24" t="s">
        <v>71</v>
      </c>
      <c r="M7" s="36" t="s">
        <v>309</v>
      </c>
      <c r="N7" s="36" t="s">
        <v>310</v>
      </c>
      <c r="O7" s="88" t="n">
        <v>185000</v>
      </c>
      <c r="P7" s="88" t="n">
        <v>185000</v>
      </c>
      <c r="Q7" s="88" t="n">
        <v>25000</v>
      </c>
      <c r="R7" s="88" t="n">
        <v>175000</v>
      </c>
      <c r="S7" s="89" t="n">
        <v>0.5</v>
      </c>
      <c r="T7" s="89" t="n">
        <v>1</v>
      </c>
      <c r="U7" s="89" t="n">
        <v>1</v>
      </c>
      <c r="V7" s="36" t="s">
        <v>50</v>
      </c>
      <c r="W7" s="36"/>
    </row>
    <row r="8" customFormat="false" ht="18" hidden="false" customHeight="true" outlineLevel="0" collapsed="false">
      <c r="A8" s="90" t="s">
        <v>111</v>
      </c>
      <c r="B8" s="90" t="s">
        <v>304</v>
      </c>
      <c r="C8" s="90" t="s">
        <v>109</v>
      </c>
      <c r="D8" s="90" t="s">
        <v>305</v>
      </c>
      <c r="E8" s="90" t="s">
        <v>22</v>
      </c>
      <c r="F8" s="90" t="s">
        <v>320</v>
      </c>
      <c r="G8" s="90" t="s">
        <v>112</v>
      </c>
      <c r="H8" s="90" t="s">
        <v>104</v>
      </c>
      <c r="I8" s="90" t="s">
        <v>316</v>
      </c>
      <c r="J8" s="90" t="s">
        <v>325</v>
      </c>
      <c r="K8" s="90" t="s">
        <v>327</v>
      </c>
      <c r="L8" s="27" t="s">
        <v>75</v>
      </c>
      <c r="M8" s="90" t="s">
        <v>328</v>
      </c>
      <c r="N8" s="90" t="s">
        <v>329</v>
      </c>
      <c r="O8" s="91" t="n">
        <v>340000</v>
      </c>
      <c r="P8" s="91" t="n">
        <v>340000</v>
      </c>
      <c r="Q8" s="91" t="n">
        <v>50000</v>
      </c>
      <c r="R8" s="91" t="n">
        <v>320000</v>
      </c>
      <c r="S8" s="92" t="n">
        <v>0.2</v>
      </c>
      <c r="T8" s="92" t="n">
        <v>0.8</v>
      </c>
      <c r="U8" s="92" t="n">
        <v>1</v>
      </c>
      <c r="V8" s="90" t="s">
        <v>50</v>
      </c>
      <c r="W8" s="90"/>
    </row>
    <row r="9" customFormat="false" ht="18" hidden="false" customHeight="true" outlineLevel="0" collapsed="false">
      <c r="A9" s="36" t="s">
        <v>113</v>
      </c>
      <c r="B9" s="36" t="s">
        <v>330</v>
      </c>
      <c r="C9" s="36" t="s">
        <v>69</v>
      </c>
      <c r="D9" s="36" t="s">
        <v>305</v>
      </c>
      <c r="E9" s="36" t="s">
        <v>22</v>
      </c>
      <c r="F9" s="36" t="s">
        <v>320</v>
      </c>
      <c r="G9" s="36" t="s">
        <v>114</v>
      </c>
      <c r="H9" s="36" t="s">
        <v>115</v>
      </c>
      <c r="I9" s="36" t="s">
        <v>331</v>
      </c>
      <c r="J9" s="36" t="s">
        <v>332</v>
      </c>
      <c r="K9" s="36" t="s">
        <v>333</v>
      </c>
      <c r="L9" s="24" t="s">
        <v>71</v>
      </c>
      <c r="M9" s="36" t="s">
        <v>319</v>
      </c>
      <c r="N9" s="36" t="s">
        <v>334</v>
      </c>
      <c r="O9" s="88" t="n">
        <v>260000</v>
      </c>
      <c r="P9" s="88" t="n">
        <v>260000</v>
      </c>
      <c r="Q9" s="88" t="n">
        <v>30000</v>
      </c>
      <c r="R9" s="88" t="n">
        <v>250000</v>
      </c>
      <c r="S9" s="89" t="n">
        <v>0.4</v>
      </c>
      <c r="T9" s="89" t="n">
        <v>1</v>
      </c>
      <c r="U9" s="89" t="n">
        <v>1</v>
      </c>
      <c r="V9" s="36" t="s">
        <v>50</v>
      </c>
      <c r="W9" s="36"/>
    </row>
    <row r="10" customFormat="false" ht="18" hidden="false" customHeight="true" outlineLevel="0" collapsed="false">
      <c r="A10" s="90" t="s">
        <v>116</v>
      </c>
      <c r="B10" s="90" t="s">
        <v>330</v>
      </c>
      <c r="C10" s="90" t="s">
        <v>74</v>
      </c>
      <c r="D10" s="90" t="s">
        <v>305</v>
      </c>
      <c r="E10" s="90" t="s">
        <v>22</v>
      </c>
      <c r="F10" s="90" t="s">
        <v>311</v>
      </c>
      <c r="G10" s="90" t="s">
        <v>117</v>
      </c>
      <c r="H10" s="90" t="s">
        <v>70</v>
      </c>
      <c r="I10" s="90" t="s">
        <v>335</v>
      </c>
      <c r="J10" s="90" t="s">
        <v>332</v>
      </c>
      <c r="K10" s="90" t="s">
        <v>336</v>
      </c>
      <c r="L10" s="24" t="s">
        <v>71</v>
      </c>
      <c r="M10" s="90" t="s">
        <v>309</v>
      </c>
      <c r="N10" s="90" t="s">
        <v>337</v>
      </c>
      <c r="O10" s="91" t="n">
        <v>230000</v>
      </c>
      <c r="P10" s="91" t="n">
        <v>230000</v>
      </c>
      <c r="Q10" s="91" t="n">
        <v>35000</v>
      </c>
      <c r="R10" s="91" t="n">
        <v>220000</v>
      </c>
      <c r="S10" s="92" t="n">
        <v>0.5</v>
      </c>
      <c r="T10" s="92" t="n">
        <v>1</v>
      </c>
      <c r="U10" s="92" t="n">
        <v>1</v>
      </c>
      <c r="V10" s="90" t="s">
        <v>50</v>
      </c>
      <c r="W10" s="90"/>
    </row>
    <row r="11" customFormat="false" ht="18" hidden="false" customHeight="true" outlineLevel="0" collapsed="false">
      <c r="A11" s="36" t="s">
        <v>118</v>
      </c>
      <c r="B11" s="36" t="s">
        <v>330</v>
      </c>
      <c r="C11" s="36" t="s">
        <v>109</v>
      </c>
      <c r="D11" s="36" t="s">
        <v>305</v>
      </c>
      <c r="E11" s="36" t="s">
        <v>22</v>
      </c>
      <c r="F11" s="36" t="s">
        <v>320</v>
      </c>
      <c r="G11" s="36" t="s">
        <v>119</v>
      </c>
      <c r="H11" s="36" t="s">
        <v>98</v>
      </c>
      <c r="I11" s="36" t="s">
        <v>338</v>
      </c>
      <c r="J11" s="36" t="s">
        <v>339</v>
      </c>
      <c r="K11" s="36" t="s">
        <v>340</v>
      </c>
      <c r="L11" s="42" t="s">
        <v>120</v>
      </c>
      <c r="M11" s="36" t="s">
        <v>309</v>
      </c>
      <c r="N11" s="36" t="s">
        <v>341</v>
      </c>
      <c r="O11" s="88" t="n">
        <v>180000</v>
      </c>
      <c r="P11" s="88" t="n">
        <v>180000</v>
      </c>
      <c r="Q11" s="88" t="n">
        <v>20000</v>
      </c>
      <c r="R11" s="88" t="n">
        <v>175000</v>
      </c>
      <c r="S11" s="89" t="n">
        <v>1</v>
      </c>
      <c r="T11" s="89" t="n">
        <v>1</v>
      </c>
      <c r="U11" s="89" t="n">
        <v>1</v>
      </c>
      <c r="V11" s="36" t="s">
        <v>50</v>
      </c>
      <c r="W11" s="36"/>
    </row>
    <row r="12" customFormat="false" ht="18" hidden="false" customHeight="true" outlineLevel="0" collapsed="false">
      <c r="A12" s="90" t="s">
        <v>121</v>
      </c>
      <c r="B12" s="90" t="s">
        <v>304</v>
      </c>
      <c r="C12" s="90" t="s">
        <v>69</v>
      </c>
      <c r="D12" s="90" t="s">
        <v>305</v>
      </c>
      <c r="E12" s="90" t="s">
        <v>22</v>
      </c>
      <c r="F12" s="90" t="s">
        <v>320</v>
      </c>
      <c r="G12" s="90" t="s">
        <v>122</v>
      </c>
      <c r="H12" s="90" t="s">
        <v>123</v>
      </c>
      <c r="I12" s="90" t="s">
        <v>342</v>
      </c>
      <c r="J12" s="90" t="s">
        <v>339</v>
      </c>
      <c r="K12" s="90" t="s">
        <v>343</v>
      </c>
      <c r="L12" s="27" t="s">
        <v>75</v>
      </c>
      <c r="M12" s="90" t="s">
        <v>344</v>
      </c>
      <c r="N12" s="90" t="s">
        <v>345</v>
      </c>
      <c r="O12" s="91" t="n">
        <v>210000</v>
      </c>
      <c r="P12" s="91" t="n">
        <v>210000</v>
      </c>
      <c r="Q12" s="91" t="n">
        <v>40000</v>
      </c>
      <c r="R12" s="91" t="n">
        <v>200000</v>
      </c>
      <c r="S12" s="92" t="n">
        <v>0.2</v>
      </c>
      <c r="T12" s="92" t="n">
        <v>0.8</v>
      </c>
      <c r="U12" s="92" t="n">
        <v>1</v>
      </c>
      <c r="V12" s="90" t="s">
        <v>50</v>
      </c>
      <c r="W12" s="90"/>
    </row>
    <row r="13" customFormat="false" ht="18" hidden="false" customHeight="true" outlineLevel="0" collapsed="false">
      <c r="A13" s="36" t="s">
        <v>67</v>
      </c>
      <c r="B13" s="36" t="s">
        <v>346</v>
      </c>
      <c r="C13" s="36" t="s">
        <v>69</v>
      </c>
      <c r="D13" s="36" t="s">
        <v>347</v>
      </c>
      <c r="E13" s="36" t="s">
        <v>21</v>
      </c>
      <c r="F13" s="36" t="s">
        <v>348</v>
      </c>
      <c r="G13" s="36" t="s">
        <v>68</v>
      </c>
      <c r="H13" s="36" t="s">
        <v>70</v>
      </c>
      <c r="I13" s="36" t="s">
        <v>21</v>
      </c>
      <c r="J13" s="36" t="s">
        <v>349</v>
      </c>
      <c r="K13" s="36" t="s">
        <v>350</v>
      </c>
      <c r="L13" s="24" t="s">
        <v>71</v>
      </c>
      <c r="M13" s="36" t="s">
        <v>351</v>
      </c>
      <c r="N13" s="36" t="s">
        <v>352</v>
      </c>
      <c r="O13" s="88" t="n">
        <v>4200000</v>
      </c>
      <c r="P13" s="88" t="n">
        <v>4200000</v>
      </c>
      <c r="Q13" s="88" t="n">
        <v>1800000</v>
      </c>
      <c r="R13" s="88" t="n">
        <v>4000000</v>
      </c>
      <c r="S13" s="89" t="n">
        <v>0.3</v>
      </c>
      <c r="T13" s="89" t="n">
        <v>0.8</v>
      </c>
      <c r="U13" s="89" t="n">
        <v>1</v>
      </c>
      <c r="V13" s="36" t="s">
        <v>49</v>
      </c>
      <c r="W13" s="36"/>
    </row>
    <row r="14" customFormat="false" ht="18" hidden="false" customHeight="true" outlineLevel="0" collapsed="false">
      <c r="A14" s="90" t="s">
        <v>72</v>
      </c>
      <c r="B14" s="90" t="s">
        <v>346</v>
      </c>
      <c r="C14" s="90" t="s">
        <v>74</v>
      </c>
      <c r="D14" s="90" t="s">
        <v>347</v>
      </c>
      <c r="E14" s="90" t="s">
        <v>21</v>
      </c>
      <c r="F14" s="90" t="s">
        <v>348</v>
      </c>
      <c r="G14" s="90" t="s">
        <v>73</v>
      </c>
      <c r="H14" s="90" t="s">
        <v>70</v>
      </c>
      <c r="I14" s="90" t="s">
        <v>21</v>
      </c>
      <c r="J14" s="90" t="s">
        <v>349</v>
      </c>
      <c r="K14" s="90" t="s">
        <v>353</v>
      </c>
      <c r="L14" s="27" t="s">
        <v>75</v>
      </c>
      <c r="M14" s="90" t="s">
        <v>354</v>
      </c>
      <c r="N14" s="90" t="s">
        <v>355</v>
      </c>
      <c r="O14" s="91" t="n">
        <v>1850000</v>
      </c>
      <c r="P14" s="91" t="n">
        <v>1850000</v>
      </c>
      <c r="Q14" s="91" t="n">
        <v>950000</v>
      </c>
      <c r="R14" s="91" t="n">
        <v>1750000</v>
      </c>
      <c r="S14" s="92" t="n">
        <v>0.1</v>
      </c>
      <c r="T14" s="92" t="n">
        <v>0.6</v>
      </c>
      <c r="U14" s="92" t="n">
        <v>1</v>
      </c>
      <c r="V14" s="90" t="s">
        <v>49</v>
      </c>
      <c r="W14" s="90"/>
    </row>
    <row r="15" customFormat="false" ht="18" hidden="false" customHeight="true" outlineLevel="0" collapsed="false">
      <c r="A15" s="36" t="s">
        <v>130</v>
      </c>
      <c r="B15" s="36" t="s">
        <v>304</v>
      </c>
      <c r="C15" s="36" t="s">
        <v>69</v>
      </c>
      <c r="D15" s="36" t="s">
        <v>347</v>
      </c>
      <c r="E15" s="36" t="s">
        <v>23</v>
      </c>
      <c r="F15" s="36" t="s">
        <v>356</v>
      </c>
      <c r="G15" s="36" t="s">
        <v>131</v>
      </c>
      <c r="H15" s="36" t="s">
        <v>132</v>
      </c>
      <c r="I15" s="36" t="s">
        <v>23</v>
      </c>
      <c r="J15" s="36" t="s">
        <v>357</v>
      </c>
      <c r="K15" s="36" t="s">
        <v>358</v>
      </c>
      <c r="L15" s="24" t="s">
        <v>71</v>
      </c>
      <c r="M15" s="36" t="s">
        <v>309</v>
      </c>
      <c r="N15" s="36" t="s">
        <v>324</v>
      </c>
      <c r="O15" s="88" t="n">
        <v>3100000</v>
      </c>
      <c r="P15" s="88" t="n">
        <v>3100000</v>
      </c>
      <c r="Q15" s="88" t="n">
        <v>150000</v>
      </c>
      <c r="R15" s="88" t="n">
        <v>3000000</v>
      </c>
      <c r="S15" s="89" t="n">
        <v>0.5</v>
      </c>
      <c r="T15" s="89" t="n">
        <v>1</v>
      </c>
      <c r="U15" s="89" t="n">
        <v>1</v>
      </c>
      <c r="V15" s="36" t="s">
        <v>49</v>
      </c>
      <c r="W15" s="36"/>
    </row>
    <row r="16" customFormat="false" ht="18" hidden="false" customHeight="true" outlineLevel="0" collapsed="false">
      <c r="A16" s="90" t="s">
        <v>133</v>
      </c>
      <c r="B16" s="90" t="s">
        <v>304</v>
      </c>
      <c r="C16" s="90" t="s">
        <v>74</v>
      </c>
      <c r="D16" s="90" t="s">
        <v>347</v>
      </c>
      <c r="E16" s="90" t="s">
        <v>23</v>
      </c>
      <c r="F16" s="90" t="s">
        <v>359</v>
      </c>
      <c r="G16" s="90" t="s">
        <v>134</v>
      </c>
      <c r="H16" s="90" t="s">
        <v>132</v>
      </c>
      <c r="I16" s="90" t="s">
        <v>23</v>
      </c>
      <c r="J16" s="90" t="s">
        <v>357</v>
      </c>
      <c r="K16" s="90" t="s">
        <v>360</v>
      </c>
      <c r="L16" s="24" t="s">
        <v>71</v>
      </c>
      <c r="M16" s="90" t="s">
        <v>319</v>
      </c>
      <c r="N16" s="90" t="s">
        <v>345</v>
      </c>
      <c r="O16" s="91" t="n">
        <v>1200000</v>
      </c>
      <c r="P16" s="91" t="n">
        <v>1200000</v>
      </c>
      <c r="Q16" s="91" t="n">
        <v>80000</v>
      </c>
      <c r="R16" s="91" t="n">
        <v>1150000</v>
      </c>
      <c r="S16" s="92" t="n">
        <v>0.5</v>
      </c>
      <c r="T16" s="92" t="n">
        <v>1</v>
      </c>
      <c r="U16" s="92" t="n">
        <v>1</v>
      </c>
      <c r="V16" s="90" t="s">
        <v>49</v>
      </c>
      <c r="W16" s="90"/>
    </row>
    <row r="17" customFormat="false" ht="18" hidden="false" customHeight="true" outlineLevel="0" collapsed="false">
      <c r="A17" s="36" t="s">
        <v>135</v>
      </c>
      <c r="B17" s="36" t="s">
        <v>304</v>
      </c>
      <c r="C17" s="36" t="s">
        <v>109</v>
      </c>
      <c r="D17" s="36" t="s">
        <v>347</v>
      </c>
      <c r="E17" s="36" t="s">
        <v>23</v>
      </c>
      <c r="F17" s="36" t="s">
        <v>361</v>
      </c>
      <c r="G17" s="36" t="s">
        <v>136</v>
      </c>
      <c r="H17" s="36" t="s">
        <v>132</v>
      </c>
      <c r="I17" s="36" t="s">
        <v>23</v>
      </c>
      <c r="J17" s="36" t="s">
        <v>362</v>
      </c>
      <c r="K17" s="36" t="s">
        <v>363</v>
      </c>
      <c r="L17" s="27" t="s">
        <v>75</v>
      </c>
      <c r="M17" s="36" t="s">
        <v>323</v>
      </c>
      <c r="N17" s="36" t="s">
        <v>329</v>
      </c>
      <c r="O17" s="88" t="n">
        <v>875000</v>
      </c>
      <c r="P17" s="88" t="n">
        <v>875000</v>
      </c>
      <c r="Q17" s="88" t="n">
        <v>50000</v>
      </c>
      <c r="R17" s="88" t="n">
        <v>850000</v>
      </c>
      <c r="S17" s="89" t="n">
        <v>0.2</v>
      </c>
      <c r="T17" s="89" t="n">
        <v>0.8</v>
      </c>
      <c r="U17" s="89" t="n">
        <v>1</v>
      </c>
      <c r="V17" s="36" t="s">
        <v>49</v>
      </c>
      <c r="W17" s="36"/>
    </row>
    <row r="18" customFormat="false" ht="18" hidden="false" customHeight="true" outlineLevel="0" collapsed="false">
      <c r="A18" s="90" t="s">
        <v>159</v>
      </c>
      <c r="B18" s="90" t="s">
        <v>304</v>
      </c>
      <c r="C18" s="90" t="s">
        <v>69</v>
      </c>
      <c r="D18" s="90" t="s">
        <v>347</v>
      </c>
      <c r="E18" s="90" t="s">
        <v>26</v>
      </c>
      <c r="F18" s="90" t="s">
        <v>364</v>
      </c>
      <c r="G18" s="90" t="s">
        <v>160</v>
      </c>
      <c r="H18" s="90" t="s">
        <v>70</v>
      </c>
      <c r="I18" s="90" t="s">
        <v>365</v>
      </c>
      <c r="J18" s="90" t="s">
        <v>366</v>
      </c>
      <c r="K18" s="90" t="s">
        <v>367</v>
      </c>
      <c r="L18" s="24" t="s">
        <v>71</v>
      </c>
      <c r="M18" s="90" t="s">
        <v>309</v>
      </c>
      <c r="N18" s="90" t="s">
        <v>314</v>
      </c>
      <c r="O18" s="91" t="n">
        <v>620000</v>
      </c>
      <c r="P18" s="91" t="n">
        <v>620000</v>
      </c>
      <c r="Q18" s="91" t="n">
        <v>40000</v>
      </c>
      <c r="R18" s="91" t="n">
        <v>600000</v>
      </c>
      <c r="S18" s="92" t="n">
        <v>0.5</v>
      </c>
      <c r="T18" s="92" t="n">
        <v>1</v>
      </c>
      <c r="U18" s="92" t="n">
        <v>1</v>
      </c>
      <c r="V18" s="90" t="s">
        <v>49</v>
      </c>
      <c r="W18" s="90"/>
    </row>
    <row r="19" customFormat="false" ht="18" hidden="false" customHeight="true" outlineLevel="0" collapsed="false">
      <c r="A19" s="36" t="s">
        <v>161</v>
      </c>
      <c r="B19" s="36" t="s">
        <v>304</v>
      </c>
      <c r="C19" s="36" t="s">
        <v>74</v>
      </c>
      <c r="D19" s="36" t="s">
        <v>347</v>
      </c>
      <c r="E19" s="36" t="s">
        <v>26</v>
      </c>
      <c r="F19" s="36" t="s">
        <v>368</v>
      </c>
      <c r="G19" s="36" t="s">
        <v>162</v>
      </c>
      <c r="H19" s="36" t="s">
        <v>70</v>
      </c>
      <c r="I19" s="36" t="s">
        <v>365</v>
      </c>
      <c r="J19" s="36" t="s">
        <v>366</v>
      </c>
      <c r="K19" s="36" t="s">
        <v>369</v>
      </c>
      <c r="L19" s="27" t="s">
        <v>75</v>
      </c>
      <c r="M19" s="36" t="s">
        <v>344</v>
      </c>
      <c r="N19" s="36" t="s">
        <v>370</v>
      </c>
      <c r="O19" s="88" t="n">
        <v>480000</v>
      </c>
      <c r="P19" s="88" t="n">
        <v>480000</v>
      </c>
      <c r="Q19" s="88" t="n">
        <v>120000</v>
      </c>
      <c r="R19" s="88" t="n">
        <v>450000</v>
      </c>
      <c r="S19" s="89" t="n">
        <v>0.2</v>
      </c>
      <c r="T19" s="89" t="n">
        <v>0.8</v>
      </c>
      <c r="U19" s="89" t="n">
        <v>1</v>
      </c>
      <c r="V19" s="36" t="s">
        <v>49</v>
      </c>
      <c r="W19" s="36"/>
    </row>
    <row r="20" customFormat="false" ht="18" hidden="false" customHeight="true" outlineLevel="0" collapsed="false">
      <c r="A20" s="90" t="s">
        <v>141</v>
      </c>
      <c r="B20" s="90" t="s">
        <v>304</v>
      </c>
      <c r="C20" s="90" t="s">
        <v>109</v>
      </c>
      <c r="D20" s="90" t="s">
        <v>347</v>
      </c>
      <c r="E20" s="90" t="s">
        <v>24</v>
      </c>
      <c r="F20" s="90" t="s">
        <v>371</v>
      </c>
      <c r="G20" s="90" t="s">
        <v>142</v>
      </c>
      <c r="H20" s="90" t="s">
        <v>110</v>
      </c>
      <c r="I20" s="90" t="s">
        <v>24</v>
      </c>
      <c r="J20" s="90" t="s">
        <v>372</v>
      </c>
      <c r="K20" s="90" t="s">
        <v>373</v>
      </c>
      <c r="L20" s="24" t="s">
        <v>71</v>
      </c>
      <c r="M20" s="90" t="s">
        <v>309</v>
      </c>
      <c r="N20" s="90" t="s">
        <v>314</v>
      </c>
      <c r="O20" s="91" t="n">
        <v>950000</v>
      </c>
      <c r="P20" s="91" t="n">
        <v>950000</v>
      </c>
      <c r="Q20" s="91" t="n">
        <v>75000</v>
      </c>
      <c r="R20" s="91" t="n">
        <v>900000</v>
      </c>
      <c r="S20" s="92" t="n">
        <v>0.5</v>
      </c>
      <c r="T20" s="92" t="n">
        <v>1</v>
      </c>
      <c r="U20" s="92" t="n">
        <v>1</v>
      </c>
      <c r="V20" s="90" t="s">
        <v>50</v>
      </c>
      <c r="W20" s="90"/>
    </row>
    <row r="21" customFormat="false" ht="18" hidden="false" customHeight="true" outlineLevel="0" collapsed="false">
      <c r="A21" s="36" t="s">
        <v>143</v>
      </c>
      <c r="B21" s="36" t="s">
        <v>304</v>
      </c>
      <c r="C21" s="36" t="s">
        <v>69</v>
      </c>
      <c r="D21" s="36" t="s">
        <v>347</v>
      </c>
      <c r="E21" s="36" t="s">
        <v>24</v>
      </c>
      <c r="F21" s="36" t="s">
        <v>374</v>
      </c>
      <c r="G21" s="36" t="s">
        <v>144</v>
      </c>
      <c r="H21" s="36" t="s">
        <v>110</v>
      </c>
      <c r="I21" s="36" t="s">
        <v>24</v>
      </c>
      <c r="J21" s="36" t="s">
        <v>372</v>
      </c>
      <c r="K21" s="36" t="s">
        <v>375</v>
      </c>
      <c r="L21" s="24" t="s">
        <v>71</v>
      </c>
      <c r="M21" s="36" t="s">
        <v>319</v>
      </c>
      <c r="N21" s="36" t="s">
        <v>345</v>
      </c>
      <c r="O21" s="88" t="n">
        <v>380000</v>
      </c>
      <c r="P21" s="88" t="n">
        <v>380000</v>
      </c>
      <c r="Q21" s="88" t="n">
        <v>120000</v>
      </c>
      <c r="R21" s="88" t="n">
        <v>360000</v>
      </c>
      <c r="S21" s="89" t="n">
        <v>0.4</v>
      </c>
      <c r="T21" s="89" t="n">
        <v>1</v>
      </c>
      <c r="U21" s="89" t="n">
        <v>1</v>
      </c>
      <c r="V21" s="36" t="s">
        <v>50</v>
      </c>
      <c r="W21" s="36"/>
    </row>
    <row r="22" customFormat="false" ht="18" hidden="false" customHeight="true" outlineLevel="0" collapsed="false">
      <c r="A22" s="90" t="s">
        <v>149</v>
      </c>
      <c r="B22" s="90" t="s">
        <v>304</v>
      </c>
      <c r="C22" s="90" t="s">
        <v>74</v>
      </c>
      <c r="D22" s="90" t="s">
        <v>347</v>
      </c>
      <c r="E22" s="90" t="s">
        <v>25</v>
      </c>
      <c r="F22" s="90" t="s">
        <v>376</v>
      </c>
      <c r="G22" s="90" t="s">
        <v>150</v>
      </c>
      <c r="H22" s="90" t="s">
        <v>123</v>
      </c>
      <c r="I22" s="90" t="s">
        <v>342</v>
      </c>
      <c r="J22" s="90" t="s">
        <v>377</v>
      </c>
      <c r="K22" s="90" t="s">
        <v>378</v>
      </c>
      <c r="L22" s="27" t="s">
        <v>75</v>
      </c>
      <c r="M22" s="90" t="s">
        <v>354</v>
      </c>
      <c r="N22" s="90" t="s">
        <v>355</v>
      </c>
      <c r="O22" s="91" t="n">
        <v>1400000</v>
      </c>
      <c r="P22" s="91" t="n">
        <v>1400000</v>
      </c>
      <c r="Q22" s="91" t="n">
        <v>2200000</v>
      </c>
      <c r="R22" s="91" t="n">
        <v>1350000</v>
      </c>
      <c r="S22" s="92" t="n">
        <v>0.1</v>
      </c>
      <c r="T22" s="92" t="n">
        <v>0.6</v>
      </c>
      <c r="U22" s="92" t="n">
        <v>1</v>
      </c>
      <c r="V22" s="90" t="s">
        <v>50</v>
      </c>
      <c r="W22" s="90"/>
    </row>
    <row r="23" customFormat="false" ht="18" hidden="false" customHeight="true" outlineLevel="0" collapsed="false">
      <c r="A23" s="36" t="s">
        <v>151</v>
      </c>
      <c r="B23" s="36" t="s">
        <v>304</v>
      </c>
      <c r="C23" s="36" t="s">
        <v>109</v>
      </c>
      <c r="D23" s="36" t="s">
        <v>347</v>
      </c>
      <c r="E23" s="36" t="s">
        <v>25</v>
      </c>
      <c r="F23" s="36" t="s">
        <v>379</v>
      </c>
      <c r="G23" s="36" t="s">
        <v>152</v>
      </c>
      <c r="H23" s="36" t="s">
        <v>123</v>
      </c>
      <c r="I23" s="36" t="s">
        <v>342</v>
      </c>
      <c r="J23" s="36" t="s">
        <v>377</v>
      </c>
      <c r="K23" s="36" t="s">
        <v>380</v>
      </c>
      <c r="L23" s="24" t="s">
        <v>71</v>
      </c>
      <c r="M23" s="36" t="s">
        <v>309</v>
      </c>
      <c r="N23" s="36" t="s">
        <v>324</v>
      </c>
      <c r="O23" s="88" t="n">
        <v>420000</v>
      </c>
      <c r="P23" s="88" t="n">
        <v>420000</v>
      </c>
      <c r="Q23" s="88" t="n">
        <v>30000</v>
      </c>
      <c r="R23" s="88" t="n">
        <v>400000</v>
      </c>
      <c r="S23" s="89" t="n">
        <v>0.5</v>
      </c>
      <c r="T23" s="89" t="n">
        <v>1</v>
      </c>
      <c r="U23" s="89" t="n">
        <v>1</v>
      </c>
      <c r="V23" s="36" t="s">
        <v>50</v>
      </c>
      <c r="W23" s="36"/>
    </row>
    <row r="24" customFormat="false" ht="18" hidden="false" customHeight="true" outlineLevel="0" collapsed="false">
      <c r="A24" s="90" t="s">
        <v>153</v>
      </c>
      <c r="B24" s="90" t="s">
        <v>330</v>
      </c>
      <c r="C24" s="90" t="s">
        <v>69</v>
      </c>
      <c r="D24" s="90" t="s">
        <v>347</v>
      </c>
      <c r="E24" s="90" t="s">
        <v>25</v>
      </c>
      <c r="F24" s="90" t="s">
        <v>381</v>
      </c>
      <c r="G24" s="90" t="s">
        <v>154</v>
      </c>
      <c r="H24" s="90" t="s">
        <v>104</v>
      </c>
      <c r="I24" s="90" t="s">
        <v>203</v>
      </c>
      <c r="J24" s="90" t="s">
        <v>382</v>
      </c>
      <c r="K24" s="90" t="s">
        <v>383</v>
      </c>
      <c r="L24" s="24" t="s">
        <v>71</v>
      </c>
      <c r="M24" s="90" t="s">
        <v>351</v>
      </c>
      <c r="N24" s="90" t="s">
        <v>345</v>
      </c>
      <c r="O24" s="91" t="n">
        <v>2800000</v>
      </c>
      <c r="P24" s="91" t="n">
        <v>2800000</v>
      </c>
      <c r="Q24" s="91" t="n">
        <v>200000</v>
      </c>
      <c r="R24" s="91" t="n">
        <v>2700000</v>
      </c>
      <c r="S24" s="92" t="n">
        <v>0.4</v>
      </c>
      <c r="T24" s="92" t="n">
        <v>0.9</v>
      </c>
      <c r="U24" s="92" t="n">
        <v>1</v>
      </c>
      <c r="V24" s="90" t="s">
        <v>51</v>
      </c>
      <c r="W24" s="90"/>
    </row>
    <row r="25" customFormat="false" ht="18" hidden="false" customHeight="true" outlineLevel="0" collapsed="false">
      <c r="A25" s="36" t="s">
        <v>167</v>
      </c>
      <c r="B25" s="36" t="s">
        <v>304</v>
      </c>
      <c r="C25" s="36" t="s">
        <v>74</v>
      </c>
      <c r="D25" s="36" t="s">
        <v>347</v>
      </c>
      <c r="E25" s="36" t="s">
        <v>27</v>
      </c>
      <c r="F25" s="36" t="s">
        <v>384</v>
      </c>
      <c r="G25" s="36" t="s">
        <v>168</v>
      </c>
      <c r="H25" s="36" t="s">
        <v>98</v>
      </c>
      <c r="I25" s="36" t="s">
        <v>385</v>
      </c>
      <c r="J25" s="36" t="s">
        <v>386</v>
      </c>
      <c r="K25" s="36" t="s">
        <v>387</v>
      </c>
      <c r="L25" s="24" t="s">
        <v>71</v>
      </c>
      <c r="M25" s="36" t="s">
        <v>309</v>
      </c>
      <c r="N25" s="36" t="s">
        <v>345</v>
      </c>
      <c r="O25" s="88" t="n">
        <v>760000</v>
      </c>
      <c r="P25" s="88" t="n">
        <v>760000</v>
      </c>
      <c r="Q25" s="88" t="n">
        <v>180000</v>
      </c>
      <c r="R25" s="88" t="n">
        <v>720000</v>
      </c>
      <c r="S25" s="89" t="n">
        <v>0.5</v>
      </c>
      <c r="T25" s="89" t="n">
        <v>1</v>
      </c>
      <c r="U25" s="89" t="n">
        <v>1</v>
      </c>
      <c r="V25" s="36" t="s">
        <v>50</v>
      </c>
      <c r="W25" s="36"/>
    </row>
    <row r="26" customFormat="false" ht="18" hidden="false" customHeight="true" outlineLevel="0" collapsed="false">
      <c r="A26" s="90" t="s">
        <v>169</v>
      </c>
      <c r="B26" s="90" t="s">
        <v>304</v>
      </c>
      <c r="C26" s="90" t="s">
        <v>109</v>
      </c>
      <c r="D26" s="90" t="s">
        <v>347</v>
      </c>
      <c r="E26" s="90" t="s">
        <v>27</v>
      </c>
      <c r="F26" s="90" t="s">
        <v>388</v>
      </c>
      <c r="G26" s="90" t="s">
        <v>170</v>
      </c>
      <c r="H26" s="90" t="s">
        <v>98</v>
      </c>
      <c r="I26" s="90" t="s">
        <v>338</v>
      </c>
      <c r="J26" s="90" t="s">
        <v>389</v>
      </c>
      <c r="K26" s="90" t="s">
        <v>390</v>
      </c>
      <c r="L26" s="42" t="s">
        <v>120</v>
      </c>
      <c r="M26" s="90" t="s">
        <v>309</v>
      </c>
      <c r="N26" s="90" t="s">
        <v>310</v>
      </c>
      <c r="O26" s="91" t="n">
        <v>1100000</v>
      </c>
      <c r="P26" s="91" t="n">
        <v>1100000</v>
      </c>
      <c r="Q26" s="91" t="n">
        <v>0</v>
      </c>
      <c r="R26" s="91" t="n">
        <v>1050000</v>
      </c>
      <c r="S26" s="92" t="n">
        <v>1</v>
      </c>
      <c r="T26" s="92" t="n">
        <v>1</v>
      </c>
      <c r="U26" s="92" t="n">
        <v>1</v>
      </c>
      <c r="V26" s="90" t="s">
        <v>50</v>
      </c>
      <c r="W26" s="90"/>
    </row>
    <row r="27" customFormat="false" ht="18" hidden="false" customHeight="true" outlineLevel="0" collapsed="false">
      <c r="A27" s="36" t="s">
        <v>124</v>
      </c>
      <c r="B27" s="36" t="s">
        <v>330</v>
      </c>
      <c r="C27" s="36" t="s">
        <v>74</v>
      </c>
      <c r="D27" s="36" t="s">
        <v>347</v>
      </c>
      <c r="E27" s="36" t="s">
        <v>22</v>
      </c>
      <c r="F27" s="36" t="s">
        <v>391</v>
      </c>
      <c r="G27" s="36" t="s">
        <v>125</v>
      </c>
      <c r="H27" s="36" t="s">
        <v>98</v>
      </c>
      <c r="I27" s="36" t="s">
        <v>338</v>
      </c>
      <c r="J27" s="36" t="s">
        <v>392</v>
      </c>
      <c r="K27" s="36" t="s">
        <v>393</v>
      </c>
      <c r="L27" s="24" t="s">
        <v>71</v>
      </c>
      <c r="M27" s="36" t="s">
        <v>309</v>
      </c>
      <c r="N27" s="36" t="s">
        <v>314</v>
      </c>
      <c r="O27" s="88" t="n">
        <v>480000</v>
      </c>
      <c r="P27" s="88" t="n">
        <v>480000</v>
      </c>
      <c r="Q27" s="88" t="n">
        <v>25000</v>
      </c>
      <c r="R27" s="88" t="n">
        <v>460000</v>
      </c>
      <c r="S27" s="89" t="n">
        <v>0.5</v>
      </c>
      <c r="T27" s="89" t="n">
        <v>1</v>
      </c>
      <c r="U27" s="89" t="n">
        <v>1</v>
      </c>
      <c r="V27" s="36" t="s">
        <v>50</v>
      </c>
      <c r="W27" s="36"/>
    </row>
    <row r="28" customFormat="false" ht="19.5" hidden="false" customHeight="true" outlineLevel="0" collapsed="false">
      <c r="A28" s="14" t="s">
        <v>394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5" t="n">
        <f aca="false">SUM(P3:P27)</f>
        <v>23480000</v>
      </c>
      <c r="Q28" s="15" t="n">
        <f aca="false">SUM(Q3:Q27)</f>
        <v>6425000</v>
      </c>
      <c r="R28" s="15" t="n">
        <f aca="false">SUM(R3:R27)</f>
        <v>22460000</v>
      </c>
      <c r="S28" s="93"/>
      <c r="T28" s="93"/>
      <c r="U28" s="93"/>
      <c r="V28" s="93"/>
      <c r="W28" s="93"/>
    </row>
  </sheetData>
  <mergeCells count="2">
    <mergeCell ref="A1:X1"/>
    <mergeCell ref="A28:O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X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11"/>
    <col collapsed="false" customWidth="true" hidden="false" outlineLevel="0" max="23" min="23" style="0" width="8"/>
    <col collapsed="false" customWidth="true" hidden="false" outlineLevel="0" max="24" min="24" style="0" width="10"/>
  </cols>
  <sheetData>
    <row r="1" customFormat="false" ht="30" hidden="false" customHeight="true" outlineLevel="0" collapsed="false">
      <c r="A1" s="1" t="s">
        <v>395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39.75" hidden="false" customHeight="true" outlineLevel="0" collapsed="false">
      <c r="A2" s="7" t="s">
        <v>60</v>
      </c>
      <c r="B2" s="7" t="s">
        <v>30</v>
      </c>
      <c r="C2" s="7" t="s">
        <v>295</v>
      </c>
      <c r="D2" s="7" t="s">
        <v>396</v>
      </c>
      <c r="E2" s="7" t="s">
        <v>397</v>
      </c>
      <c r="F2" s="7" t="s">
        <v>398</v>
      </c>
      <c r="G2" s="7" t="s">
        <v>399</v>
      </c>
      <c r="H2" s="7" t="s">
        <v>400</v>
      </c>
      <c r="I2" s="7" t="s">
        <v>401</v>
      </c>
      <c r="J2" s="7" t="s">
        <v>402</v>
      </c>
      <c r="K2" s="7" t="s">
        <v>403</v>
      </c>
      <c r="L2" s="7" t="s">
        <v>404</v>
      </c>
      <c r="M2" s="7" t="s">
        <v>405</v>
      </c>
      <c r="N2" s="7" t="s">
        <v>406</v>
      </c>
      <c r="O2" s="7" t="s">
        <v>407</v>
      </c>
      <c r="P2" s="7" t="s">
        <v>408</v>
      </c>
      <c r="Q2" s="7" t="s">
        <v>409</v>
      </c>
      <c r="R2" s="7" t="s">
        <v>410</v>
      </c>
      <c r="S2" s="7" t="s">
        <v>411</v>
      </c>
      <c r="T2" s="32" t="s">
        <v>412</v>
      </c>
      <c r="U2" s="32" t="s">
        <v>413</v>
      </c>
      <c r="V2" s="32" t="s">
        <v>414</v>
      </c>
      <c r="W2" s="32" t="s">
        <v>415</v>
      </c>
      <c r="X2" s="32" t="s">
        <v>416</v>
      </c>
    </row>
    <row r="3" customFormat="false" ht="18" hidden="false" customHeight="true" outlineLevel="0" collapsed="false">
      <c r="A3" s="36" t="s">
        <v>96</v>
      </c>
      <c r="B3" s="36" t="s">
        <v>69</v>
      </c>
      <c r="C3" s="36" t="s">
        <v>306</v>
      </c>
      <c r="D3" s="36" t="s">
        <v>417</v>
      </c>
      <c r="E3" s="36" t="s">
        <v>418</v>
      </c>
      <c r="F3" s="36" t="s">
        <v>419</v>
      </c>
      <c r="G3" s="36" t="n">
        <v>1</v>
      </c>
      <c r="H3" s="88" t="n">
        <v>280000</v>
      </c>
      <c r="I3" s="88" t="n">
        <v>42000</v>
      </c>
      <c r="J3" s="25" t="n">
        <f aca="false">H3+I3</f>
        <v>322000</v>
      </c>
      <c r="K3" s="25" t="n">
        <f aca="false">J3*0.25</f>
        <v>80500</v>
      </c>
      <c r="L3" s="25" t="n">
        <f aca="false">J3+K3</f>
        <v>402500</v>
      </c>
      <c r="M3" s="94" t="n">
        <v>52</v>
      </c>
      <c r="N3" s="25" t="n">
        <f aca="false">(H3/52)*M3</f>
        <v>280000</v>
      </c>
      <c r="O3" s="88" t="n">
        <v>15000</v>
      </c>
      <c r="P3" s="25" t="n">
        <f aca="false">N3+O3</f>
        <v>295000</v>
      </c>
      <c r="Q3" s="25" t="n">
        <f aca="false">L3</f>
        <v>402500</v>
      </c>
      <c r="R3" s="25" t="n">
        <f aca="false">IFERROR(Q3*VLOOKUP(A3,'Initiative Log'!$A:$S,19,0),0)</f>
        <v>201250</v>
      </c>
      <c r="S3" s="25" t="n">
        <f aca="false">Q3</f>
        <v>402500</v>
      </c>
      <c r="T3" s="95" t="str">
        <f aca="false">IFERROR(VLOOKUP(A3,'Initiative Log'!$A:$E,5,0),"")</f>
        <v>G&amp;A / HC</v>
      </c>
      <c r="U3" s="95" t="str">
        <f aca="false">IFERROR(VLOOKUP(A3,'Initiative Log'!$A:$V,22,0),"")</f>
        <v>SGA</v>
      </c>
      <c r="V3" s="95" t="str">
        <f aca="false">IFERROR(VLOOKUP(A3,'Initiative Log'!$A:$L,12,0),"")</f>
        <v>Active</v>
      </c>
      <c r="W3" s="95" t="str">
        <f aca="false">IFERROR(VLOOKUP(A3,'Initiative Log'!$A:$H,8,0),"")</f>
        <v>CFO</v>
      </c>
      <c r="X3" s="95" t="str">
        <f aca="false">IFERROR(VLOOKUP(A3,'Initiative Log'!$A:$C,3,0),"")</f>
        <v>Dx</v>
      </c>
    </row>
    <row r="4" customFormat="false" ht="18" hidden="false" customHeight="true" outlineLevel="0" collapsed="false">
      <c r="A4" s="90" t="s">
        <v>99</v>
      </c>
      <c r="B4" s="90" t="s">
        <v>69</v>
      </c>
      <c r="C4" s="90" t="s">
        <v>312</v>
      </c>
      <c r="D4" s="90" t="s">
        <v>417</v>
      </c>
      <c r="E4" s="90" t="s">
        <v>420</v>
      </c>
      <c r="F4" s="90" t="s">
        <v>421</v>
      </c>
      <c r="G4" s="90" t="n">
        <v>1</v>
      </c>
      <c r="H4" s="91" t="n">
        <v>185000</v>
      </c>
      <c r="I4" s="91" t="n">
        <v>27750</v>
      </c>
      <c r="J4" s="28" t="n">
        <f aca="false">H4+I4</f>
        <v>212750</v>
      </c>
      <c r="K4" s="28" t="n">
        <f aca="false">J4*0.25</f>
        <v>53187.5</v>
      </c>
      <c r="L4" s="28" t="n">
        <f aca="false">J4+K4</f>
        <v>265937.5</v>
      </c>
      <c r="M4" s="96" t="n">
        <v>26</v>
      </c>
      <c r="N4" s="28" t="n">
        <f aca="false">(H4/52)*M4</f>
        <v>92500</v>
      </c>
      <c r="O4" s="91" t="n">
        <v>8000</v>
      </c>
      <c r="P4" s="28" t="n">
        <f aca="false">N4+O4</f>
        <v>100500</v>
      </c>
      <c r="Q4" s="28" t="n">
        <f aca="false">L4</f>
        <v>265937.5</v>
      </c>
      <c r="R4" s="28" t="n">
        <f aca="false">IFERROR(Q4*VLOOKUP(A4,'Initiative Log'!$A:$S,19,0),0)</f>
        <v>106375</v>
      </c>
      <c r="S4" s="28" t="n">
        <f aca="false">Q4</f>
        <v>265937.5</v>
      </c>
      <c r="T4" s="97" t="str">
        <f aca="false">IFERROR(VLOOKUP(A4,'Initiative Log'!$A:$E,5,0),"")</f>
        <v>G&amp;A / HC</v>
      </c>
      <c r="U4" s="97" t="str">
        <f aca="false">IFERROR(VLOOKUP(A4,'Initiative Log'!$A:$V,22,0),"")</f>
        <v>SGA</v>
      </c>
      <c r="V4" s="97" t="str">
        <f aca="false">IFERROR(VLOOKUP(A4,'Initiative Log'!$A:$L,12,0),"")</f>
        <v>Active</v>
      </c>
      <c r="W4" s="97" t="str">
        <f aca="false">IFERROR(VLOOKUP(A4,'Initiative Log'!$A:$H,8,0),"")</f>
        <v>CHRO</v>
      </c>
      <c r="X4" s="97" t="str">
        <f aca="false">IFERROR(VLOOKUP(A4,'Initiative Log'!$A:$C,3,0),"")</f>
        <v>Dx</v>
      </c>
    </row>
    <row r="5" customFormat="false" ht="18" hidden="false" customHeight="true" outlineLevel="0" collapsed="false">
      <c r="A5" s="36" t="s">
        <v>99</v>
      </c>
      <c r="B5" s="36" t="s">
        <v>69</v>
      </c>
      <c r="C5" s="36" t="s">
        <v>312</v>
      </c>
      <c r="D5" s="36" t="s">
        <v>422</v>
      </c>
      <c r="E5" s="36" t="s">
        <v>423</v>
      </c>
      <c r="F5" s="36" t="s">
        <v>421</v>
      </c>
      <c r="G5" s="36" t="n">
        <v>1</v>
      </c>
      <c r="H5" s="88" t="n">
        <v>175000</v>
      </c>
      <c r="I5" s="88" t="n">
        <v>21000</v>
      </c>
      <c r="J5" s="25" t="n">
        <f aca="false">H5+I5</f>
        <v>196000</v>
      </c>
      <c r="K5" s="25" t="n">
        <f aca="false">J5*0.25</f>
        <v>49000</v>
      </c>
      <c r="L5" s="25" t="n">
        <f aca="false">J5+K5</f>
        <v>245000</v>
      </c>
      <c r="M5" s="94" t="n">
        <v>26</v>
      </c>
      <c r="N5" s="25" t="n">
        <f aca="false">(H5/52)*M5</f>
        <v>87500</v>
      </c>
      <c r="O5" s="88" t="n">
        <v>8000</v>
      </c>
      <c r="P5" s="25" t="n">
        <f aca="false">N5+O5</f>
        <v>95500</v>
      </c>
      <c r="Q5" s="25" t="n">
        <f aca="false">L5</f>
        <v>245000</v>
      </c>
      <c r="R5" s="25" t="n">
        <f aca="false">IFERROR(Q5*VLOOKUP(A5,'Initiative Log'!$A:$S,19,0),0)</f>
        <v>98000</v>
      </c>
      <c r="S5" s="25" t="n">
        <f aca="false">Q5</f>
        <v>245000</v>
      </c>
      <c r="T5" s="95" t="str">
        <f aca="false">IFERROR(VLOOKUP(A5,'Initiative Log'!$A:$E,5,0),"")</f>
        <v>G&amp;A / HC</v>
      </c>
      <c r="U5" s="95" t="str">
        <f aca="false">IFERROR(VLOOKUP(A5,'Initiative Log'!$A:$V,22,0),"")</f>
        <v>SGA</v>
      </c>
      <c r="V5" s="95" t="str">
        <f aca="false">IFERROR(VLOOKUP(A5,'Initiative Log'!$A:$L,12,0),"")</f>
        <v>Active</v>
      </c>
      <c r="W5" s="95" t="str">
        <f aca="false">IFERROR(VLOOKUP(A5,'Initiative Log'!$A:$H,8,0),"")</f>
        <v>CHRO</v>
      </c>
      <c r="X5" s="95" t="str">
        <f aca="false">IFERROR(VLOOKUP(A5,'Initiative Log'!$A:$C,3,0),"")</f>
        <v>Dx</v>
      </c>
    </row>
    <row r="6" customFormat="false" ht="18" hidden="false" customHeight="true" outlineLevel="0" collapsed="false">
      <c r="A6" s="90" t="s">
        <v>102</v>
      </c>
      <c r="B6" s="90" t="s">
        <v>74</v>
      </c>
      <c r="C6" s="90" t="s">
        <v>316</v>
      </c>
      <c r="D6" s="90" t="s">
        <v>417</v>
      </c>
      <c r="E6" s="90" t="s">
        <v>424</v>
      </c>
      <c r="F6" s="90" t="s">
        <v>425</v>
      </c>
      <c r="G6" s="90" t="n">
        <v>1</v>
      </c>
      <c r="H6" s="91" t="n">
        <v>135000</v>
      </c>
      <c r="I6" s="91" t="n">
        <v>27000</v>
      </c>
      <c r="J6" s="28" t="n">
        <f aca="false">H6+I6</f>
        <v>162000</v>
      </c>
      <c r="K6" s="28" t="n">
        <f aca="false">J6*0.25</f>
        <v>40500</v>
      </c>
      <c r="L6" s="28" t="n">
        <f aca="false">J6+K6</f>
        <v>202500</v>
      </c>
      <c r="M6" s="96" t="n">
        <v>16</v>
      </c>
      <c r="N6" s="28" t="n">
        <f aca="false">(H6/52)*M6</f>
        <v>41538.4615384615</v>
      </c>
      <c r="O6" s="91" t="n">
        <v>5000</v>
      </c>
      <c r="P6" s="28" t="n">
        <f aca="false">N6+O6</f>
        <v>46538.4615384615</v>
      </c>
      <c r="Q6" s="28" t="n">
        <f aca="false">L6</f>
        <v>202500</v>
      </c>
      <c r="R6" s="28" t="n">
        <f aca="false">IFERROR(Q6*VLOOKUP(A6,'Initiative Log'!$A:$S,19,0),0)</f>
        <v>101250</v>
      </c>
      <c r="S6" s="28" t="n">
        <f aca="false">Q6</f>
        <v>202500</v>
      </c>
      <c r="T6" s="97" t="str">
        <f aca="false">IFERROR(VLOOKUP(A6,'Initiative Log'!$A:$E,5,0),"")</f>
        <v>G&amp;A / HC</v>
      </c>
      <c r="U6" s="97" t="str">
        <f aca="false">IFERROR(VLOOKUP(A6,'Initiative Log'!$A:$V,22,0),"")</f>
        <v>SGA</v>
      </c>
      <c r="V6" s="97" t="str">
        <f aca="false">IFERROR(VLOOKUP(A6,'Initiative Log'!$A:$L,12,0),"")</f>
        <v>Active</v>
      </c>
      <c r="W6" s="97" t="str">
        <f aca="false">IFERROR(VLOOKUP(A6,'Initiative Log'!$A:$H,8,0),"")</f>
        <v>CSO</v>
      </c>
      <c r="X6" s="97" t="str">
        <f aca="false">IFERROR(VLOOKUP(A6,'Initiative Log'!$A:$C,3,0),"")</f>
        <v>BH</v>
      </c>
    </row>
    <row r="7" customFormat="false" ht="18" hidden="false" customHeight="true" outlineLevel="0" collapsed="false">
      <c r="A7" s="36" t="s">
        <v>102</v>
      </c>
      <c r="B7" s="36" t="s">
        <v>74</v>
      </c>
      <c r="C7" s="36" t="s">
        <v>316</v>
      </c>
      <c r="D7" s="36" t="s">
        <v>417</v>
      </c>
      <c r="E7" s="36" t="s">
        <v>426</v>
      </c>
      <c r="F7" s="36" t="s">
        <v>425</v>
      </c>
      <c r="G7" s="36" t="n">
        <v>1</v>
      </c>
      <c r="H7" s="88" t="n">
        <v>130000</v>
      </c>
      <c r="I7" s="88" t="n">
        <v>26000</v>
      </c>
      <c r="J7" s="25" t="n">
        <f aca="false">H7+I7</f>
        <v>156000</v>
      </c>
      <c r="K7" s="25" t="n">
        <f aca="false">J7*0.25</f>
        <v>39000</v>
      </c>
      <c r="L7" s="25" t="n">
        <f aca="false">J7+K7</f>
        <v>195000</v>
      </c>
      <c r="M7" s="94" t="n">
        <v>16</v>
      </c>
      <c r="N7" s="25" t="n">
        <f aca="false">(H7/52)*M7</f>
        <v>40000</v>
      </c>
      <c r="O7" s="88" t="n">
        <v>5000</v>
      </c>
      <c r="P7" s="25" t="n">
        <f aca="false">N7+O7</f>
        <v>45000</v>
      </c>
      <c r="Q7" s="25" t="n">
        <f aca="false">L7</f>
        <v>195000</v>
      </c>
      <c r="R7" s="25" t="n">
        <f aca="false">IFERROR(Q7*VLOOKUP(A7,'Initiative Log'!$A:$S,19,0),0)</f>
        <v>97500</v>
      </c>
      <c r="S7" s="25" t="n">
        <f aca="false">Q7</f>
        <v>195000</v>
      </c>
      <c r="T7" s="95" t="str">
        <f aca="false">IFERROR(VLOOKUP(A7,'Initiative Log'!$A:$E,5,0),"")</f>
        <v>G&amp;A / HC</v>
      </c>
      <c r="U7" s="95" t="str">
        <f aca="false">IFERROR(VLOOKUP(A7,'Initiative Log'!$A:$V,22,0),"")</f>
        <v>SGA</v>
      </c>
      <c r="V7" s="95" t="str">
        <f aca="false">IFERROR(VLOOKUP(A7,'Initiative Log'!$A:$L,12,0),"")</f>
        <v>Active</v>
      </c>
      <c r="W7" s="95" t="str">
        <f aca="false">IFERROR(VLOOKUP(A7,'Initiative Log'!$A:$H,8,0),"")</f>
        <v>CSO</v>
      </c>
      <c r="X7" s="95" t="str">
        <f aca="false">IFERROR(VLOOKUP(A7,'Initiative Log'!$A:$C,3,0),"")</f>
        <v>BH</v>
      </c>
    </row>
    <row r="8" customFormat="false" ht="18" hidden="false" customHeight="true" outlineLevel="0" collapsed="false">
      <c r="A8" s="90" t="s">
        <v>102</v>
      </c>
      <c r="B8" s="90" t="s">
        <v>74</v>
      </c>
      <c r="C8" s="90" t="s">
        <v>316</v>
      </c>
      <c r="D8" s="90" t="s">
        <v>417</v>
      </c>
      <c r="E8" s="90" t="s">
        <v>427</v>
      </c>
      <c r="F8" s="90" t="s">
        <v>425</v>
      </c>
      <c r="G8" s="90" t="n">
        <v>1</v>
      </c>
      <c r="H8" s="91" t="n">
        <v>140000</v>
      </c>
      <c r="I8" s="91" t="n">
        <v>28000</v>
      </c>
      <c r="J8" s="28" t="n">
        <f aca="false">H8+I8</f>
        <v>168000</v>
      </c>
      <c r="K8" s="28" t="n">
        <f aca="false">J8*0.25</f>
        <v>42000</v>
      </c>
      <c r="L8" s="28" t="n">
        <f aca="false">J8+K8</f>
        <v>210000</v>
      </c>
      <c r="M8" s="96" t="n">
        <v>16</v>
      </c>
      <c r="N8" s="28" t="n">
        <f aca="false">(H8/52)*M8</f>
        <v>43076.9230769231</v>
      </c>
      <c r="O8" s="91" t="n">
        <v>5000</v>
      </c>
      <c r="P8" s="28" t="n">
        <f aca="false">N8+O8</f>
        <v>48076.9230769231</v>
      </c>
      <c r="Q8" s="28" t="n">
        <f aca="false">L8</f>
        <v>210000</v>
      </c>
      <c r="R8" s="28" t="n">
        <f aca="false">IFERROR(Q8*VLOOKUP(A8,'Initiative Log'!$A:$S,19,0),0)</f>
        <v>105000</v>
      </c>
      <c r="S8" s="28" t="n">
        <f aca="false">Q8</f>
        <v>210000</v>
      </c>
      <c r="T8" s="97" t="str">
        <f aca="false">IFERROR(VLOOKUP(A8,'Initiative Log'!$A:$E,5,0),"")</f>
        <v>G&amp;A / HC</v>
      </c>
      <c r="U8" s="97" t="str">
        <f aca="false">IFERROR(VLOOKUP(A8,'Initiative Log'!$A:$V,22,0),"")</f>
        <v>SGA</v>
      </c>
      <c r="V8" s="97" t="str">
        <f aca="false">IFERROR(VLOOKUP(A8,'Initiative Log'!$A:$L,12,0),"")</f>
        <v>Active</v>
      </c>
      <c r="W8" s="97" t="str">
        <f aca="false">IFERROR(VLOOKUP(A8,'Initiative Log'!$A:$H,8,0),"")</f>
        <v>CSO</v>
      </c>
      <c r="X8" s="97" t="str">
        <f aca="false">IFERROR(VLOOKUP(A8,'Initiative Log'!$A:$C,3,0),"")</f>
        <v>BH</v>
      </c>
    </row>
    <row r="9" customFormat="false" ht="18" hidden="false" customHeight="true" outlineLevel="0" collapsed="false">
      <c r="A9" s="36" t="s">
        <v>105</v>
      </c>
      <c r="B9" s="36" t="s">
        <v>74</v>
      </c>
      <c r="C9" s="36" t="s">
        <v>321</v>
      </c>
      <c r="D9" s="36" t="s">
        <v>417</v>
      </c>
      <c r="E9" s="36" t="s">
        <v>428</v>
      </c>
      <c r="F9" s="36" t="s">
        <v>320</v>
      </c>
      <c r="G9" s="36" t="n">
        <v>1</v>
      </c>
      <c r="H9" s="88" t="n">
        <v>110000</v>
      </c>
      <c r="I9" s="88" t="n">
        <v>11000</v>
      </c>
      <c r="J9" s="25" t="n">
        <f aca="false">H9+I9</f>
        <v>121000</v>
      </c>
      <c r="K9" s="25" t="n">
        <f aca="false">J9*0.25</f>
        <v>30250</v>
      </c>
      <c r="L9" s="25" t="n">
        <f aca="false">J9+K9</f>
        <v>151250</v>
      </c>
      <c r="M9" s="94" t="n">
        <v>12</v>
      </c>
      <c r="N9" s="25" t="n">
        <f aca="false">(H9/52)*M9</f>
        <v>25384.6153846154</v>
      </c>
      <c r="O9" s="88" t="n">
        <v>2500</v>
      </c>
      <c r="P9" s="25" t="n">
        <f aca="false">N9+O9</f>
        <v>27884.6153846154</v>
      </c>
      <c r="Q9" s="25" t="n">
        <f aca="false">L9</f>
        <v>151250</v>
      </c>
      <c r="R9" s="25" t="n">
        <f aca="false">IFERROR(Q9*VLOOKUP(A9,'Initiative Log'!$A:$S,19,0),0)</f>
        <v>30250</v>
      </c>
      <c r="S9" s="25" t="n">
        <f aca="false">Q9</f>
        <v>151250</v>
      </c>
      <c r="T9" s="95" t="str">
        <f aca="false">IFERROR(VLOOKUP(A9,'Initiative Log'!$A:$E,5,0),"")</f>
        <v>G&amp;A / HC</v>
      </c>
      <c r="U9" s="95" t="str">
        <f aca="false">IFERROR(VLOOKUP(A9,'Initiative Log'!$A:$V,22,0),"")</f>
        <v>SGA</v>
      </c>
      <c r="V9" s="95" t="str">
        <f aca="false">IFERROR(VLOOKUP(A9,'Initiative Log'!$A:$L,12,0),"")</f>
        <v>Pipeline</v>
      </c>
      <c r="W9" s="95" t="str">
        <f aca="false">IFERROR(VLOOKUP(A9,'Initiative Log'!$A:$H,8,0),"")</f>
        <v>COO</v>
      </c>
      <c r="X9" s="95" t="str">
        <f aca="false">IFERROR(VLOOKUP(A9,'Initiative Log'!$A:$C,3,0),"")</f>
        <v>BH</v>
      </c>
    </row>
    <row r="10" customFormat="false" ht="18" hidden="false" customHeight="true" outlineLevel="0" collapsed="false">
      <c r="A10" s="90" t="s">
        <v>105</v>
      </c>
      <c r="B10" s="90" t="s">
        <v>74</v>
      </c>
      <c r="C10" s="90" t="s">
        <v>321</v>
      </c>
      <c r="D10" s="90" t="s">
        <v>417</v>
      </c>
      <c r="E10" s="90" t="s">
        <v>429</v>
      </c>
      <c r="F10" s="90" t="s">
        <v>320</v>
      </c>
      <c r="G10" s="90" t="n">
        <v>1</v>
      </c>
      <c r="H10" s="91" t="n">
        <v>95000</v>
      </c>
      <c r="I10" s="91" t="n">
        <v>9500</v>
      </c>
      <c r="J10" s="28" t="n">
        <f aca="false">H10+I10</f>
        <v>104500</v>
      </c>
      <c r="K10" s="28" t="n">
        <f aca="false">J10*0.25</f>
        <v>26125</v>
      </c>
      <c r="L10" s="28" t="n">
        <f aca="false">J10+K10</f>
        <v>130625</v>
      </c>
      <c r="M10" s="96" t="n">
        <v>12</v>
      </c>
      <c r="N10" s="28" t="n">
        <f aca="false">(H10/52)*M10</f>
        <v>21923.0769230769</v>
      </c>
      <c r="O10" s="91" t="n">
        <v>2500</v>
      </c>
      <c r="P10" s="28" t="n">
        <f aca="false">N10+O10</f>
        <v>24423.0769230769</v>
      </c>
      <c r="Q10" s="28" t="n">
        <f aca="false">L10</f>
        <v>130625</v>
      </c>
      <c r="R10" s="28" t="n">
        <f aca="false">IFERROR(Q10*VLOOKUP(A10,'Initiative Log'!$A:$S,19,0),0)</f>
        <v>26125</v>
      </c>
      <c r="S10" s="28" t="n">
        <f aca="false">Q10</f>
        <v>130625</v>
      </c>
      <c r="T10" s="97" t="str">
        <f aca="false">IFERROR(VLOOKUP(A10,'Initiative Log'!$A:$E,5,0),"")</f>
        <v>G&amp;A / HC</v>
      </c>
      <c r="U10" s="97" t="str">
        <f aca="false">IFERROR(VLOOKUP(A10,'Initiative Log'!$A:$V,22,0),"")</f>
        <v>SGA</v>
      </c>
      <c r="V10" s="97" t="str">
        <f aca="false">IFERROR(VLOOKUP(A10,'Initiative Log'!$A:$L,12,0),"")</f>
        <v>Pipeline</v>
      </c>
      <c r="W10" s="97" t="str">
        <f aca="false">IFERROR(VLOOKUP(A10,'Initiative Log'!$A:$H,8,0),"")</f>
        <v>COO</v>
      </c>
      <c r="X10" s="97" t="str">
        <f aca="false">IFERROR(VLOOKUP(A10,'Initiative Log'!$A:$C,3,0),"")</f>
        <v>BH</v>
      </c>
    </row>
    <row r="11" customFormat="false" ht="18" hidden="false" customHeight="true" outlineLevel="0" collapsed="false">
      <c r="A11" s="36" t="s">
        <v>107</v>
      </c>
      <c r="B11" s="36" t="s">
        <v>109</v>
      </c>
      <c r="C11" s="36" t="s">
        <v>24</v>
      </c>
      <c r="D11" s="36" t="s">
        <v>417</v>
      </c>
      <c r="E11" s="36" t="s">
        <v>430</v>
      </c>
      <c r="F11" s="36" t="s">
        <v>425</v>
      </c>
      <c r="G11" s="36" t="n">
        <v>1</v>
      </c>
      <c r="H11" s="88" t="n">
        <v>155000</v>
      </c>
      <c r="I11" s="88" t="n">
        <v>23250</v>
      </c>
      <c r="J11" s="25" t="n">
        <f aca="false">H11+I11</f>
        <v>178250</v>
      </c>
      <c r="K11" s="25" t="n">
        <f aca="false">J11*0.25</f>
        <v>44562.5</v>
      </c>
      <c r="L11" s="25" t="n">
        <f aca="false">J11+K11</f>
        <v>222812.5</v>
      </c>
      <c r="M11" s="94" t="n">
        <v>16</v>
      </c>
      <c r="N11" s="25" t="n">
        <f aca="false">(H11/52)*M11</f>
        <v>47692.3076923077</v>
      </c>
      <c r="O11" s="88" t="n">
        <v>5000</v>
      </c>
      <c r="P11" s="25" t="n">
        <f aca="false">N11+O11</f>
        <v>52692.3076923077</v>
      </c>
      <c r="Q11" s="25" t="n">
        <f aca="false">L11</f>
        <v>222812.5</v>
      </c>
      <c r="R11" s="25" t="n">
        <f aca="false">IFERROR(Q11*VLOOKUP(A11,'Initiative Log'!$A:$S,19,0),0)</f>
        <v>111406.25</v>
      </c>
      <c r="S11" s="25" t="n">
        <f aca="false">Q11</f>
        <v>222812.5</v>
      </c>
      <c r="T11" s="95" t="str">
        <f aca="false">IFERROR(VLOOKUP(A11,'Initiative Log'!$A:$E,5,0),"")</f>
        <v>G&amp;A / HC</v>
      </c>
      <c r="U11" s="95" t="str">
        <f aca="false">IFERROR(VLOOKUP(A11,'Initiative Log'!$A:$V,22,0),"")</f>
        <v>SGA</v>
      </c>
      <c r="V11" s="95" t="str">
        <f aca="false">IFERROR(VLOOKUP(A11,'Initiative Log'!$A:$L,12,0),"")</f>
        <v>Active</v>
      </c>
      <c r="W11" s="95" t="str">
        <f aca="false">IFERROR(VLOOKUP(A11,'Initiative Log'!$A:$H,8,0),"")</f>
        <v>CMO</v>
      </c>
      <c r="X11" s="95" t="str">
        <f aca="false">IFERROR(VLOOKUP(A11,'Initiative Log'!$A:$C,3,0),"")</f>
        <v>GY</v>
      </c>
    </row>
    <row r="12" customFormat="false" ht="18" hidden="false" customHeight="true" outlineLevel="0" collapsed="false">
      <c r="A12" s="90" t="s">
        <v>111</v>
      </c>
      <c r="B12" s="90" t="s">
        <v>109</v>
      </c>
      <c r="C12" s="90" t="s">
        <v>316</v>
      </c>
      <c r="D12" s="90" t="s">
        <v>417</v>
      </c>
      <c r="E12" s="90" t="s">
        <v>431</v>
      </c>
      <c r="F12" s="90" t="s">
        <v>320</v>
      </c>
      <c r="G12" s="90" t="n">
        <v>1</v>
      </c>
      <c r="H12" s="91" t="n">
        <v>72000</v>
      </c>
      <c r="I12" s="91" t="n">
        <v>10800</v>
      </c>
      <c r="J12" s="28" t="n">
        <f aca="false">H12+I12</f>
        <v>82800</v>
      </c>
      <c r="K12" s="28" t="n">
        <f aca="false">J12*0.25</f>
        <v>20700</v>
      </c>
      <c r="L12" s="28" t="n">
        <f aca="false">J12+K12</f>
        <v>103500</v>
      </c>
      <c r="M12" s="96" t="n">
        <v>12</v>
      </c>
      <c r="N12" s="28" t="n">
        <f aca="false">(H12/52)*M12</f>
        <v>16615.3846153846</v>
      </c>
      <c r="O12" s="91" t="n">
        <v>2500</v>
      </c>
      <c r="P12" s="28" t="n">
        <f aca="false">N12+O12</f>
        <v>19115.3846153846</v>
      </c>
      <c r="Q12" s="28" t="n">
        <f aca="false">L12</f>
        <v>103500</v>
      </c>
      <c r="R12" s="28" t="n">
        <f aca="false">IFERROR(Q12*VLOOKUP(A12,'Initiative Log'!$A:$S,19,0),0)</f>
        <v>20700</v>
      </c>
      <c r="S12" s="28" t="n">
        <f aca="false">Q12</f>
        <v>103500</v>
      </c>
      <c r="T12" s="97" t="str">
        <f aca="false">IFERROR(VLOOKUP(A12,'Initiative Log'!$A:$E,5,0),"")</f>
        <v>G&amp;A / HC</v>
      </c>
      <c r="U12" s="97" t="str">
        <f aca="false">IFERROR(VLOOKUP(A12,'Initiative Log'!$A:$V,22,0),"")</f>
        <v>SGA</v>
      </c>
      <c r="V12" s="97" t="str">
        <f aca="false">IFERROR(VLOOKUP(A12,'Initiative Log'!$A:$L,12,0),"")</f>
        <v>Pipeline</v>
      </c>
      <c r="W12" s="97" t="str">
        <f aca="false">IFERROR(VLOOKUP(A12,'Initiative Log'!$A:$H,8,0),"")</f>
        <v>CSO</v>
      </c>
      <c r="X12" s="97" t="str">
        <f aca="false">IFERROR(VLOOKUP(A12,'Initiative Log'!$A:$C,3,0),"")</f>
        <v>GY</v>
      </c>
    </row>
    <row r="13" customFormat="false" ht="18" hidden="false" customHeight="true" outlineLevel="0" collapsed="false">
      <c r="A13" s="36" t="s">
        <v>111</v>
      </c>
      <c r="B13" s="36" t="s">
        <v>109</v>
      </c>
      <c r="C13" s="36" t="s">
        <v>316</v>
      </c>
      <c r="D13" s="36" t="s">
        <v>417</v>
      </c>
      <c r="E13" s="36" t="s">
        <v>431</v>
      </c>
      <c r="F13" s="36" t="s">
        <v>320</v>
      </c>
      <c r="G13" s="36" t="n">
        <v>1</v>
      </c>
      <c r="H13" s="88" t="n">
        <v>68000</v>
      </c>
      <c r="I13" s="88" t="n">
        <v>10200</v>
      </c>
      <c r="J13" s="25" t="n">
        <f aca="false">H13+I13</f>
        <v>78200</v>
      </c>
      <c r="K13" s="25" t="n">
        <f aca="false">J13*0.25</f>
        <v>19550</v>
      </c>
      <c r="L13" s="25" t="n">
        <f aca="false">J13+K13</f>
        <v>97750</v>
      </c>
      <c r="M13" s="94" t="n">
        <v>12</v>
      </c>
      <c r="N13" s="25" t="n">
        <f aca="false">(H13/52)*M13</f>
        <v>15692.3076923077</v>
      </c>
      <c r="O13" s="88" t="n">
        <v>2500</v>
      </c>
      <c r="P13" s="25" t="n">
        <f aca="false">N13+O13</f>
        <v>18192.3076923077</v>
      </c>
      <c r="Q13" s="25" t="n">
        <f aca="false">L13</f>
        <v>97750</v>
      </c>
      <c r="R13" s="25" t="n">
        <f aca="false">IFERROR(Q13*VLOOKUP(A13,'Initiative Log'!$A:$S,19,0),0)</f>
        <v>19550</v>
      </c>
      <c r="S13" s="25" t="n">
        <f aca="false">Q13</f>
        <v>97750</v>
      </c>
      <c r="T13" s="95" t="str">
        <f aca="false">IFERROR(VLOOKUP(A13,'Initiative Log'!$A:$E,5,0),"")</f>
        <v>G&amp;A / HC</v>
      </c>
      <c r="U13" s="95" t="str">
        <f aca="false">IFERROR(VLOOKUP(A13,'Initiative Log'!$A:$V,22,0),"")</f>
        <v>SGA</v>
      </c>
      <c r="V13" s="95" t="str">
        <f aca="false">IFERROR(VLOOKUP(A13,'Initiative Log'!$A:$L,12,0),"")</f>
        <v>Pipeline</v>
      </c>
      <c r="W13" s="95" t="str">
        <f aca="false">IFERROR(VLOOKUP(A13,'Initiative Log'!$A:$H,8,0),"")</f>
        <v>CSO</v>
      </c>
      <c r="X13" s="95" t="str">
        <f aca="false">IFERROR(VLOOKUP(A13,'Initiative Log'!$A:$C,3,0),"")</f>
        <v>GY</v>
      </c>
    </row>
    <row r="14" customFormat="false" ht="18" hidden="false" customHeight="true" outlineLevel="0" collapsed="false">
      <c r="A14" s="90" t="s">
        <v>111</v>
      </c>
      <c r="B14" s="90" t="s">
        <v>109</v>
      </c>
      <c r="C14" s="90" t="s">
        <v>316</v>
      </c>
      <c r="D14" s="90" t="s">
        <v>417</v>
      </c>
      <c r="E14" s="90" t="s">
        <v>431</v>
      </c>
      <c r="F14" s="90" t="s">
        <v>320</v>
      </c>
      <c r="G14" s="90" t="n">
        <v>1</v>
      </c>
      <c r="H14" s="91" t="n">
        <v>70000</v>
      </c>
      <c r="I14" s="91" t="n">
        <v>10500</v>
      </c>
      <c r="J14" s="28" t="n">
        <f aca="false">H14+I14</f>
        <v>80500</v>
      </c>
      <c r="K14" s="28" t="n">
        <f aca="false">J14*0.25</f>
        <v>20125</v>
      </c>
      <c r="L14" s="28" t="n">
        <f aca="false">J14+K14</f>
        <v>100625</v>
      </c>
      <c r="M14" s="96" t="n">
        <v>12</v>
      </c>
      <c r="N14" s="28" t="n">
        <f aca="false">(H14/52)*M14</f>
        <v>16153.8461538462</v>
      </c>
      <c r="O14" s="91" t="n">
        <v>2500</v>
      </c>
      <c r="P14" s="28" t="n">
        <f aca="false">N14+O14</f>
        <v>18653.8461538462</v>
      </c>
      <c r="Q14" s="28" t="n">
        <f aca="false">L14</f>
        <v>100625</v>
      </c>
      <c r="R14" s="28" t="n">
        <f aca="false">IFERROR(Q14*VLOOKUP(A14,'Initiative Log'!$A:$S,19,0),0)</f>
        <v>20125</v>
      </c>
      <c r="S14" s="28" t="n">
        <f aca="false">Q14</f>
        <v>100625</v>
      </c>
      <c r="T14" s="97" t="str">
        <f aca="false">IFERROR(VLOOKUP(A14,'Initiative Log'!$A:$E,5,0),"")</f>
        <v>G&amp;A / HC</v>
      </c>
      <c r="U14" s="97" t="str">
        <f aca="false">IFERROR(VLOOKUP(A14,'Initiative Log'!$A:$V,22,0),"")</f>
        <v>SGA</v>
      </c>
      <c r="V14" s="97" t="str">
        <f aca="false">IFERROR(VLOOKUP(A14,'Initiative Log'!$A:$L,12,0),"")</f>
        <v>Pipeline</v>
      </c>
      <c r="W14" s="97" t="str">
        <f aca="false">IFERROR(VLOOKUP(A14,'Initiative Log'!$A:$H,8,0),"")</f>
        <v>CSO</v>
      </c>
      <c r="X14" s="97" t="str">
        <f aca="false">IFERROR(VLOOKUP(A14,'Initiative Log'!$A:$C,3,0),"")</f>
        <v>GY</v>
      </c>
    </row>
    <row r="15" customFormat="false" ht="18" hidden="false" customHeight="true" outlineLevel="0" collapsed="false">
      <c r="A15" s="36" t="s">
        <v>111</v>
      </c>
      <c r="B15" s="36" t="s">
        <v>109</v>
      </c>
      <c r="C15" s="36" t="s">
        <v>316</v>
      </c>
      <c r="D15" s="36" t="s">
        <v>417</v>
      </c>
      <c r="E15" s="36" t="s">
        <v>431</v>
      </c>
      <c r="F15" s="36" t="s">
        <v>320</v>
      </c>
      <c r="G15" s="36" t="n">
        <v>1</v>
      </c>
      <c r="H15" s="88" t="n">
        <v>71000</v>
      </c>
      <c r="I15" s="88" t="n">
        <v>10650</v>
      </c>
      <c r="J15" s="25" t="n">
        <f aca="false">H15+I15</f>
        <v>81650</v>
      </c>
      <c r="K15" s="25" t="n">
        <f aca="false">J15*0.25</f>
        <v>20412.5</v>
      </c>
      <c r="L15" s="25" t="n">
        <f aca="false">J15+K15</f>
        <v>102062.5</v>
      </c>
      <c r="M15" s="94" t="n">
        <v>12</v>
      </c>
      <c r="N15" s="25" t="n">
        <f aca="false">(H15/52)*M15</f>
        <v>16384.6153846154</v>
      </c>
      <c r="O15" s="88" t="n">
        <v>2500</v>
      </c>
      <c r="P15" s="25" t="n">
        <f aca="false">N15+O15</f>
        <v>18884.6153846154</v>
      </c>
      <c r="Q15" s="25" t="n">
        <f aca="false">L15</f>
        <v>102062.5</v>
      </c>
      <c r="R15" s="25" t="n">
        <f aca="false">IFERROR(Q15*VLOOKUP(A15,'Initiative Log'!$A:$S,19,0),0)</f>
        <v>20412.5</v>
      </c>
      <c r="S15" s="25" t="n">
        <f aca="false">Q15</f>
        <v>102062.5</v>
      </c>
      <c r="T15" s="95" t="str">
        <f aca="false">IFERROR(VLOOKUP(A15,'Initiative Log'!$A:$E,5,0),"")</f>
        <v>G&amp;A / HC</v>
      </c>
      <c r="U15" s="95" t="str">
        <f aca="false">IFERROR(VLOOKUP(A15,'Initiative Log'!$A:$V,22,0),"")</f>
        <v>SGA</v>
      </c>
      <c r="V15" s="95" t="str">
        <f aca="false">IFERROR(VLOOKUP(A15,'Initiative Log'!$A:$L,12,0),"")</f>
        <v>Pipeline</v>
      </c>
      <c r="W15" s="95" t="str">
        <f aca="false">IFERROR(VLOOKUP(A15,'Initiative Log'!$A:$H,8,0),"")</f>
        <v>CSO</v>
      </c>
      <c r="X15" s="95" t="str">
        <f aca="false">IFERROR(VLOOKUP(A15,'Initiative Log'!$A:$C,3,0),"")</f>
        <v>GY</v>
      </c>
    </row>
    <row r="16" customFormat="false" ht="18" hidden="false" customHeight="true" outlineLevel="0" collapsed="false">
      <c r="A16" s="90" t="s">
        <v>113</v>
      </c>
      <c r="B16" s="90" t="s">
        <v>69</v>
      </c>
      <c r="C16" s="90" t="s">
        <v>331</v>
      </c>
      <c r="D16" s="90" t="s">
        <v>417</v>
      </c>
      <c r="E16" s="90" t="s">
        <v>432</v>
      </c>
      <c r="F16" s="90" t="s">
        <v>320</v>
      </c>
      <c r="G16" s="90" t="n">
        <v>1</v>
      </c>
      <c r="H16" s="91" t="n">
        <v>115000</v>
      </c>
      <c r="I16" s="91" t="n">
        <v>11500</v>
      </c>
      <c r="J16" s="28" t="n">
        <f aca="false">H16+I16</f>
        <v>126500</v>
      </c>
      <c r="K16" s="28" t="n">
        <f aca="false">J16*0.25</f>
        <v>31625</v>
      </c>
      <c r="L16" s="28" t="n">
        <f aca="false">J16+K16</f>
        <v>158125</v>
      </c>
      <c r="M16" s="96" t="n">
        <v>12</v>
      </c>
      <c r="N16" s="28" t="n">
        <f aca="false">(H16/52)*M16</f>
        <v>26538.4615384615</v>
      </c>
      <c r="O16" s="91" t="n">
        <v>2500</v>
      </c>
      <c r="P16" s="28" t="n">
        <f aca="false">N16+O16</f>
        <v>29038.4615384615</v>
      </c>
      <c r="Q16" s="28" t="n">
        <f aca="false">L16</f>
        <v>158125</v>
      </c>
      <c r="R16" s="28" t="n">
        <f aca="false">IFERROR(Q16*VLOOKUP(A16,'Initiative Log'!$A:$S,19,0),0)</f>
        <v>63250</v>
      </c>
      <c r="S16" s="28" t="n">
        <f aca="false">Q16</f>
        <v>158125</v>
      </c>
      <c r="T16" s="97" t="str">
        <f aca="false">IFERROR(VLOOKUP(A16,'Initiative Log'!$A:$E,5,0),"")</f>
        <v>G&amp;A / HC</v>
      </c>
      <c r="U16" s="97" t="str">
        <f aca="false">IFERROR(VLOOKUP(A16,'Initiative Log'!$A:$V,22,0),"")</f>
        <v>SGA</v>
      </c>
      <c r="V16" s="97" t="str">
        <f aca="false">IFERROR(VLOOKUP(A16,'Initiative Log'!$A:$L,12,0),"")</f>
        <v>Active</v>
      </c>
      <c r="W16" s="97" t="str">
        <f aca="false">IFERROR(VLOOKUP(A16,'Initiative Log'!$A:$H,8,0),"")</f>
        <v>CLO</v>
      </c>
      <c r="X16" s="97" t="str">
        <f aca="false">IFERROR(VLOOKUP(A16,'Initiative Log'!$A:$C,3,0),"")</f>
        <v>Dx</v>
      </c>
    </row>
    <row r="17" customFormat="false" ht="18" hidden="false" customHeight="true" outlineLevel="0" collapsed="false">
      <c r="A17" s="36" t="s">
        <v>113</v>
      </c>
      <c r="B17" s="36" t="s">
        <v>69</v>
      </c>
      <c r="C17" s="36" t="s">
        <v>331</v>
      </c>
      <c r="D17" s="36" t="s">
        <v>417</v>
      </c>
      <c r="E17" s="36" t="s">
        <v>433</v>
      </c>
      <c r="F17" s="36" t="s">
        <v>320</v>
      </c>
      <c r="G17" s="36" t="n">
        <v>1</v>
      </c>
      <c r="H17" s="88" t="n">
        <v>125000</v>
      </c>
      <c r="I17" s="88" t="n">
        <v>12500</v>
      </c>
      <c r="J17" s="25" t="n">
        <f aca="false">H17+I17</f>
        <v>137500</v>
      </c>
      <c r="K17" s="25" t="n">
        <f aca="false">J17*0.25</f>
        <v>34375</v>
      </c>
      <c r="L17" s="25" t="n">
        <f aca="false">J17+K17</f>
        <v>171875</v>
      </c>
      <c r="M17" s="94" t="n">
        <v>12</v>
      </c>
      <c r="N17" s="25" t="n">
        <f aca="false">(H17/52)*M17</f>
        <v>28846.1538461538</v>
      </c>
      <c r="O17" s="88" t="n">
        <v>2500</v>
      </c>
      <c r="P17" s="25" t="n">
        <f aca="false">N17+O17</f>
        <v>31346.1538461538</v>
      </c>
      <c r="Q17" s="25" t="n">
        <f aca="false">L17</f>
        <v>171875</v>
      </c>
      <c r="R17" s="25" t="n">
        <f aca="false">IFERROR(Q17*VLOOKUP(A17,'Initiative Log'!$A:$S,19,0),0)</f>
        <v>68750</v>
      </c>
      <c r="S17" s="25" t="n">
        <f aca="false">Q17</f>
        <v>171875</v>
      </c>
      <c r="T17" s="95" t="str">
        <f aca="false">IFERROR(VLOOKUP(A17,'Initiative Log'!$A:$E,5,0),"")</f>
        <v>G&amp;A / HC</v>
      </c>
      <c r="U17" s="95" t="str">
        <f aca="false">IFERROR(VLOOKUP(A17,'Initiative Log'!$A:$V,22,0),"")</f>
        <v>SGA</v>
      </c>
      <c r="V17" s="95" t="str">
        <f aca="false">IFERROR(VLOOKUP(A17,'Initiative Log'!$A:$L,12,0),"")</f>
        <v>Active</v>
      </c>
      <c r="W17" s="95" t="str">
        <f aca="false">IFERROR(VLOOKUP(A17,'Initiative Log'!$A:$H,8,0),"")</f>
        <v>CLO</v>
      </c>
      <c r="X17" s="95" t="str">
        <f aca="false">IFERROR(VLOOKUP(A17,'Initiative Log'!$A:$C,3,0),"")</f>
        <v>Dx</v>
      </c>
    </row>
    <row r="18" customFormat="false" ht="18" hidden="false" customHeight="true" outlineLevel="0" collapsed="false">
      <c r="A18" s="90" t="s">
        <v>116</v>
      </c>
      <c r="B18" s="90" t="s">
        <v>74</v>
      </c>
      <c r="C18" s="90" t="s">
        <v>335</v>
      </c>
      <c r="D18" s="90" t="s">
        <v>417</v>
      </c>
      <c r="E18" s="90" t="s">
        <v>434</v>
      </c>
      <c r="F18" s="90" t="s">
        <v>421</v>
      </c>
      <c r="G18" s="90" t="n">
        <v>1</v>
      </c>
      <c r="H18" s="91" t="n">
        <v>195000</v>
      </c>
      <c r="I18" s="91" t="n">
        <v>29250</v>
      </c>
      <c r="J18" s="28" t="n">
        <f aca="false">H18+I18</f>
        <v>224250</v>
      </c>
      <c r="K18" s="28" t="n">
        <f aca="false">J18*0.25</f>
        <v>56062.5</v>
      </c>
      <c r="L18" s="28" t="n">
        <f aca="false">J18+K18</f>
        <v>280312.5</v>
      </c>
      <c r="M18" s="96" t="n">
        <v>26</v>
      </c>
      <c r="N18" s="28" t="n">
        <f aca="false">(H18/52)*M18</f>
        <v>97500</v>
      </c>
      <c r="O18" s="91" t="n">
        <v>8000</v>
      </c>
      <c r="P18" s="28" t="n">
        <f aca="false">N18+O18</f>
        <v>105500</v>
      </c>
      <c r="Q18" s="28" t="n">
        <f aca="false">L18</f>
        <v>280312.5</v>
      </c>
      <c r="R18" s="28" t="n">
        <f aca="false">IFERROR(Q18*VLOOKUP(A18,'Initiative Log'!$A:$S,19,0),0)</f>
        <v>140156.25</v>
      </c>
      <c r="S18" s="28" t="n">
        <f aca="false">Q18</f>
        <v>280312.5</v>
      </c>
      <c r="T18" s="97" t="str">
        <f aca="false">IFERROR(VLOOKUP(A18,'Initiative Log'!$A:$E,5,0),"")</f>
        <v>G&amp;A / HC</v>
      </c>
      <c r="U18" s="97" t="str">
        <f aca="false">IFERROR(VLOOKUP(A18,'Initiative Log'!$A:$V,22,0),"")</f>
        <v>SGA</v>
      </c>
      <c r="V18" s="97" t="str">
        <f aca="false">IFERROR(VLOOKUP(A18,'Initiative Log'!$A:$L,12,0),"")</f>
        <v>Active</v>
      </c>
      <c r="W18" s="97" t="str">
        <f aca="false">IFERROR(VLOOKUP(A18,'Initiative Log'!$A:$H,8,0),"")</f>
        <v>COO</v>
      </c>
      <c r="X18" s="97" t="str">
        <f aca="false">IFERROR(VLOOKUP(A18,'Initiative Log'!$A:$C,3,0),"")</f>
        <v>BH</v>
      </c>
    </row>
    <row r="19" customFormat="false" ht="18" hidden="false" customHeight="true" outlineLevel="0" collapsed="false">
      <c r="A19" s="36" t="s">
        <v>118</v>
      </c>
      <c r="B19" s="36" t="s">
        <v>109</v>
      </c>
      <c r="C19" s="36" t="s">
        <v>338</v>
      </c>
      <c r="D19" s="36" t="s">
        <v>417</v>
      </c>
      <c r="E19" s="36" t="s">
        <v>435</v>
      </c>
      <c r="F19" s="36" t="s">
        <v>320</v>
      </c>
      <c r="G19" s="36" t="n">
        <v>1</v>
      </c>
      <c r="H19" s="88" t="n">
        <v>88000</v>
      </c>
      <c r="I19" s="88" t="n">
        <v>8800</v>
      </c>
      <c r="J19" s="25" t="n">
        <f aca="false">H19+I19</f>
        <v>96800</v>
      </c>
      <c r="K19" s="25" t="n">
        <f aca="false">J19*0.25</f>
        <v>24200</v>
      </c>
      <c r="L19" s="25" t="n">
        <f aca="false">J19+K19</f>
        <v>121000</v>
      </c>
      <c r="M19" s="94" t="n">
        <v>12</v>
      </c>
      <c r="N19" s="25" t="n">
        <f aca="false">(H19/52)*M19</f>
        <v>20307.6923076923</v>
      </c>
      <c r="O19" s="88" t="n">
        <v>2500</v>
      </c>
      <c r="P19" s="25" t="n">
        <f aca="false">N19+O19</f>
        <v>22807.6923076923</v>
      </c>
      <c r="Q19" s="25" t="n">
        <f aca="false">L19</f>
        <v>121000</v>
      </c>
      <c r="R19" s="25" t="n">
        <f aca="false">IFERROR(Q19*VLOOKUP(A19,'Initiative Log'!$A:$S,19,0),0)</f>
        <v>121000</v>
      </c>
      <c r="S19" s="25" t="n">
        <f aca="false">Q19</f>
        <v>121000</v>
      </c>
      <c r="T19" s="95" t="str">
        <f aca="false">IFERROR(VLOOKUP(A19,'Initiative Log'!$A:$E,5,0),"")</f>
        <v>G&amp;A / HC</v>
      </c>
      <c r="U19" s="95" t="str">
        <f aca="false">IFERROR(VLOOKUP(A19,'Initiative Log'!$A:$V,22,0),"")</f>
        <v>SGA</v>
      </c>
      <c r="V19" s="95" t="str">
        <f aca="false">IFERROR(VLOOKUP(A19,'Initiative Log'!$A:$L,12,0),"")</f>
        <v>Complete</v>
      </c>
      <c r="W19" s="95" t="str">
        <f aca="false">IFERROR(VLOOKUP(A19,'Initiative Log'!$A:$H,8,0),"")</f>
        <v>CFO</v>
      </c>
      <c r="X19" s="95" t="str">
        <f aca="false">IFERROR(VLOOKUP(A19,'Initiative Log'!$A:$C,3,0),"")</f>
        <v>GY</v>
      </c>
    </row>
    <row r="20" customFormat="false" ht="18" hidden="false" customHeight="true" outlineLevel="0" collapsed="false">
      <c r="A20" s="90" t="s">
        <v>118</v>
      </c>
      <c r="B20" s="90" t="s">
        <v>109</v>
      </c>
      <c r="C20" s="90" t="s">
        <v>338</v>
      </c>
      <c r="D20" s="90" t="s">
        <v>417</v>
      </c>
      <c r="E20" s="90" t="s">
        <v>436</v>
      </c>
      <c r="F20" s="90" t="s">
        <v>320</v>
      </c>
      <c r="G20" s="90" t="n">
        <v>1</v>
      </c>
      <c r="H20" s="91" t="n">
        <v>78000</v>
      </c>
      <c r="I20" s="91" t="n">
        <v>7800</v>
      </c>
      <c r="J20" s="28" t="n">
        <f aca="false">H20+I20</f>
        <v>85800</v>
      </c>
      <c r="K20" s="28" t="n">
        <f aca="false">J20*0.25</f>
        <v>21450</v>
      </c>
      <c r="L20" s="28" t="n">
        <f aca="false">J20+K20</f>
        <v>107250</v>
      </c>
      <c r="M20" s="96" t="n">
        <v>12</v>
      </c>
      <c r="N20" s="28" t="n">
        <f aca="false">(H20/52)*M20</f>
        <v>18000</v>
      </c>
      <c r="O20" s="91" t="n">
        <v>2500</v>
      </c>
      <c r="P20" s="28" t="n">
        <f aca="false">N20+O20</f>
        <v>20500</v>
      </c>
      <c r="Q20" s="28" t="n">
        <f aca="false">L20</f>
        <v>107250</v>
      </c>
      <c r="R20" s="28" t="n">
        <f aca="false">IFERROR(Q20*VLOOKUP(A20,'Initiative Log'!$A:$S,19,0),0)</f>
        <v>107250</v>
      </c>
      <c r="S20" s="28" t="n">
        <f aca="false">Q20</f>
        <v>107250</v>
      </c>
      <c r="T20" s="97" t="str">
        <f aca="false">IFERROR(VLOOKUP(A20,'Initiative Log'!$A:$E,5,0),"")</f>
        <v>G&amp;A / HC</v>
      </c>
      <c r="U20" s="97" t="str">
        <f aca="false">IFERROR(VLOOKUP(A20,'Initiative Log'!$A:$V,22,0),"")</f>
        <v>SGA</v>
      </c>
      <c r="V20" s="97" t="str">
        <f aca="false">IFERROR(VLOOKUP(A20,'Initiative Log'!$A:$L,12,0),"")</f>
        <v>Complete</v>
      </c>
      <c r="W20" s="97" t="str">
        <f aca="false">IFERROR(VLOOKUP(A20,'Initiative Log'!$A:$H,8,0),"")</f>
        <v>CFO</v>
      </c>
      <c r="X20" s="97" t="str">
        <f aca="false">IFERROR(VLOOKUP(A20,'Initiative Log'!$A:$C,3,0),"")</f>
        <v>GY</v>
      </c>
    </row>
    <row r="21" customFormat="false" ht="18" hidden="false" customHeight="true" outlineLevel="0" collapsed="false">
      <c r="A21" s="36" t="s">
        <v>121</v>
      </c>
      <c r="B21" s="36" t="s">
        <v>69</v>
      </c>
      <c r="C21" s="36" t="s">
        <v>342</v>
      </c>
      <c r="D21" s="36" t="s">
        <v>417</v>
      </c>
      <c r="E21" s="36" t="s">
        <v>437</v>
      </c>
      <c r="F21" s="36" t="s">
        <v>320</v>
      </c>
      <c r="G21" s="36" t="n">
        <v>1</v>
      </c>
      <c r="H21" s="88" t="n">
        <v>105000</v>
      </c>
      <c r="I21" s="88" t="n">
        <v>10500</v>
      </c>
      <c r="J21" s="25" t="n">
        <f aca="false">H21+I21</f>
        <v>115500</v>
      </c>
      <c r="K21" s="25" t="n">
        <f aca="false">J21*0.25</f>
        <v>28875</v>
      </c>
      <c r="L21" s="25" t="n">
        <f aca="false">J21+K21</f>
        <v>144375</v>
      </c>
      <c r="M21" s="94" t="n">
        <v>12</v>
      </c>
      <c r="N21" s="25" t="n">
        <f aca="false">(H21/52)*M21</f>
        <v>24230.7692307692</v>
      </c>
      <c r="O21" s="88" t="n">
        <v>2500</v>
      </c>
      <c r="P21" s="25" t="n">
        <f aca="false">N21+O21</f>
        <v>26730.7692307692</v>
      </c>
      <c r="Q21" s="25" t="n">
        <f aca="false">L21</f>
        <v>144375</v>
      </c>
      <c r="R21" s="25" t="n">
        <f aca="false">IFERROR(Q21*VLOOKUP(A21,'Initiative Log'!$A:$S,19,0),0)</f>
        <v>28875</v>
      </c>
      <c r="S21" s="25" t="n">
        <f aca="false">Q21</f>
        <v>144375</v>
      </c>
      <c r="T21" s="95" t="str">
        <f aca="false">IFERROR(VLOOKUP(A21,'Initiative Log'!$A:$E,5,0),"")</f>
        <v>G&amp;A / HC</v>
      </c>
      <c r="U21" s="95" t="str">
        <f aca="false">IFERROR(VLOOKUP(A21,'Initiative Log'!$A:$V,22,0),"")</f>
        <v>SGA</v>
      </c>
      <c r="V21" s="95" t="str">
        <f aca="false">IFERROR(VLOOKUP(A21,'Initiative Log'!$A:$L,12,0),"")</f>
        <v>Pipeline</v>
      </c>
      <c r="W21" s="95" t="str">
        <f aca="false">IFERROR(VLOOKUP(A21,'Initiative Log'!$A:$H,8,0),"")</f>
        <v>CIO</v>
      </c>
      <c r="X21" s="95" t="str">
        <f aca="false">IFERROR(VLOOKUP(A21,'Initiative Log'!$A:$C,3,0),"")</f>
        <v>Dx</v>
      </c>
    </row>
    <row r="22" customFormat="false" ht="18" hidden="false" customHeight="true" outlineLevel="0" collapsed="false">
      <c r="A22" s="90" t="s">
        <v>121</v>
      </c>
      <c r="B22" s="90" t="s">
        <v>69</v>
      </c>
      <c r="C22" s="90" t="s">
        <v>342</v>
      </c>
      <c r="D22" s="90" t="s">
        <v>417</v>
      </c>
      <c r="E22" s="90" t="s">
        <v>438</v>
      </c>
      <c r="F22" s="90" t="s">
        <v>320</v>
      </c>
      <c r="G22" s="90" t="n">
        <v>1</v>
      </c>
      <c r="H22" s="91" t="n">
        <v>92000</v>
      </c>
      <c r="I22" s="91" t="n">
        <v>9200</v>
      </c>
      <c r="J22" s="28" t="n">
        <f aca="false">H22+I22</f>
        <v>101200</v>
      </c>
      <c r="K22" s="28" t="n">
        <f aca="false">J22*0.25</f>
        <v>25300</v>
      </c>
      <c r="L22" s="28" t="n">
        <f aca="false">J22+K22</f>
        <v>126500</v>
      </c>
      <c r="M22" s="96" t="n">
        <v>12</v>
      </c>
      <c r="N22" s="28" t="n">
        <f aca="false">(H22/52)*M22</f>
        <v>21230.7692307692</v>
      </c>
      <c r="O22" s="91" t="n">
        <v>2500</v>
      </c>
      <c r="P22" s="28" t="n">
        <f aca="false">N22+O22</f>
        <v>23730.7692307692</v>
      </c>
      <c r="Q22" s="28" t="n">
        <f aca="false">L22</f>
        <v>126500</v>
      </c>
      <c r="R22" s="28" t="n">
        <f aca="false">IFERROR(Q22*VLOOKUP(A22,'Initiative Log'!$A:$S,19,0),0)</f>
        <v>25300</v>
      </c>
      <c r="S22" s="28" t="n">
        <f aca="false">Q22</f>
        <v>126500</v>
      </c>
      <c r="T22" s="97" t="str">
        <f aca="false">IFERROR(VLOOKUP(A22,'Initiative Log'!$A:$E,5,0),"")</f>
        <v>G&amp;A / HC</v>
      </c>
      <c r="U22" s="97" t="str">
        <f aca="false">IFERROR(VLOOKUP(A22,'Initiative Log'!$A:$V,22,0),"")</f>
        <v>SGA</v>
      </c>
      <c r="V22" s="97" t="str">
        <f aca="false">IFERROR(VLOOKUP(A22,'Initiative Log'!$A:$L,12,0),"")</f>
        <v>Pipeline</v>
      </c>
      <c r="W22" s="97" t="str">
        <f aca="false">IFERROR(VLOOKUP(A22,'Initiative Log'!$A:$H,8,0),"")</f>
        <v>CIO</v>
      </c>
      <c r="X22" s="97" t="str">
        <f aca="false">IFERROR(VLOOKUP(A22,'Initiative Log'!$A:$C,3,0),"")</f>
        <v>Dx</v>
      </c>
    </row>
    <row r="23" customFormat="false" ht="19.5" hidden="false" customHeight="true" outlineLevel="0" collapsed="false">
      <c r="A23" s="18" t="s">
        <v>394</v>
      </c>
      <c r="B23" s="18"/>
      <c r="C23" s="18"/>
      <c r="D23" s="18"/>
      <c r="E23" s="18"/>
      <c r="F23" s="18"/>
      <c r="G23" s="43" t="n">
        <f aca="false">SUM(G3:G22)</f>
        <v>20</v>
      </c>
      <c r="H23" s="15" t="n">
        <f aca="false">SUM(H3:H22)</f>
        <v>2484000</v>
      </c>
      <c r="I23" s="15" t="n">
        <f aca="false">SUM(I3:I22)</f>
        <v>347200</v>
      </c>
      <c r="J23" s="15" t="n">
        <f aca="false">SUM(J3:J22)</f>
        <v>2831200</v>
      </c>
      <c r="K23" s="15" t="n">
        <f aca="false">SUM(K3:K22)</f>
        <v>707800</v>
      </c>
      <c r="L23" s="15" t="n">
        <f aca="false">SUM(L3:L22)</f>
        <v>3539000</v>
      </c>
      <c r="N23" s="15" t="n">
        <f aca="false">SUM(N3:N22)</f>
        <v>981115.384615385</v>
      </c>
      <c r="O23" s="15" t="n">
        <f aca="false">SUM(O3:O22)</f>
        <v>89000</v>
      </c>
      <c r="P23" s="15" t="n">
        <f aca="false">SUM(P3:P22)</f>
        <v>1070115.38461538</v>
      </c>
      <c r="Q23" s="15" t="n">
        <f aca="false">SUM(Q3:Q22)</f>
        <v>3539000</v>
      </c>
      <c r="R23" s="15" t="n">
        <f aca="false">SUM(R3:R22)</f>
        <v>1512525</v>
      </c>
      <c r="S23" s="15" t="n">
        <f aca="false">SUM(S3:S22)</f>
        <v>3539000</v>
      </c>
      <c r="T23" s="93"/>
      <c r="U23" s="93"/>
      <c r="V23" s="93"/>
      <c r="W23" s="93"/>
      <c r="X23" s="93"/>
    </row>
  </sheetData>
  <mergeCells count="2">
    <mergeCell ref="A1:X1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false"/>
  </sheetPr>
  <dimension ref="A1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3" min="11" style="0" width="13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3" min="21" style="0" width="10"/>
    <col collapsed="false" customWidth="true" hidden="false" outlineLevel="0" max="26" min="24" style="0" width="8"/>
  </cols>
  <sheetData>
    <row r="1" customFormat="false" ht="30" hidden="false" customHeight="true" outlineLevel="0" collapsed="false">
      <c r="A1" s="1" t="s">
        <v>439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9.75" hidden="false" customHeight="true" outlineLevel="0" collapsed="false">
      <c r="A2" s="7" t="s">
        <v>60</v>
      </c>
      <c r="B2" s="7" t="s">
        <v>296</v>
      </c>
      <c r="C2" s="7" t="s">
        <v>30</v>
      </c>
      <c r="D2" s="7" t="s">
        <v>293</v>
      </c>
      <c r="E2" s="7" t="s">
        <v>294</v>
      </c>
      <c r="F2" s="7" t="s">
        <v>61</v>
      </c>
      <c r="G2" s="7" t="s">
        <v>62</v>
      </c>
      <c r="H2" s="7" t="s">
        <v>440</v>
      </c>
      <c r="I2" s="7" t="s">
        <v>55</v>
      </c>
      <c r="J2" s="7" t="s">
        <v>441</v>
      </c>
      <c r="K2" s="7" t="s">
        <v>7</v>
      </c>
      <c r="L2" s="7" t="s">
        <v>176</v>
      </c>
      <c r="M2" s="7" t="s">
        <v>9</v>
      </c>
      <c r="N2" s="7" t="s">
        <v>442</v>
      </c>
      <c r="O2" s="7" t="s">
        <v>443</v>
      </c>
      <c r="P2" s="7" t="s">
        <v>58</v>
      </c>
      <c r="Q2" s="7" t="s">
        <v>444</v>
      </c>
      <c r="R2" s="7" t="s">
        <v>445</v>
      </c>
      <c r="S2" s="7" t="s">
        <v>65</v>
      </c>
      <c r="T2" s="7" t="s">
        <v>446</v>
      </c>
      <c r="U2" s="7" t="s">
        <v>447</v>
      </c>
      <c r="V2" s="32" t="s">
        <v>413</v>
      </c>
      <c r="W2" s="32" t="s">
        <v>414</v>
      </c>
      <c r="X2" s="32" t="s">
        <v>448</v>
      </c>
      <c r="Y2" s="32" t="s">
        <v>449</v>
      </c>
      <c r="Z2" s="32" t="s">
        <v>450</v>
      </c>
    </row>
    <row r="3" customFormat="false" ht="18" hidden="false" customHeight="true" outlineLevel="0" collapsed="false">
      <c r="A3" s="36" t="s">
        <v>67</v>
      </c>
      <c r="B3" s="36" t="s">
        <v>349</v>
      </c>
      <c r="C3" s="36" t="s">
        <v>69</v>
      </c>
      <c r="D3" s="36" t="s">
        <v>21</v>
      </c>
      <c r="E3" s="36" t="s">
        <v>348</v>
      </c>
      <c r="F3" s="36" t="s">
        <v>68</v>
      </c>
      <c r="G3" s="36" t="s">
        <v>70</v>
      </c>
      <c r="H3" s="88" t="n">
        <v>4200000</v>
      </c>
      <c r="I3" s="88" t="n">
        <v>4200000</v>
      </c>
      <c r="J3" s="88" t="n">
        <v>1800000</v>
      </c>
      <c r="K3" s="25" t="n">
        <f aca="false">I3-J3</f>
        <v>2400000</v>
      </c>
      <c r="L3" s="25" t="n">
        <f aca="false">IFERROR(I3*X3,0)</f>
        <v>1260000</v>
      </c>
      <c r="M3" s="25" t="n">
        <f aca="false">I3</f>
        <v>4200000</v>
      </c>
      <c r="N3" s="38" t="n">
        <f aca="false">IFERROR(I3/H3,0)</f>
        <v>1</v>
      </c>
      <c r="O3" s="98" t="n">
        <f aca="false">IFERROR(J3/I3,0)</f>
        <v>0.428571428571429</v>
      </c>
      <c r="P3" s="88" t="n">
        <v>4830000</v>
      </c>
      <c r="Q3" s="25" t="n">
        <f aca="false">I3-P3</f>
        <v>-630000</v>
      </c>
      <c r="R3" s="99" t="n">
        <f aca="false">IFERROR(I3/P3-1,0)</f>
        <v>-0.130434782608696</v>
      </c>
      <c r="S3" s="88" t="n">
        <v>3570000</v>
      </c>
      <c r="T3" s="25" t="n">
        <f aca="false">I3-S3</f>
        <v>630000</v>
      </c>
      <c r="U3" s="99" t="n">
        <f aca="false">IFERROR(I3/S3-1,0)</f>
        <v>0.176470588235294</v>
      </c>
      <c r="V3" s="95" t="str">
        <f aca="false">IFERROR(VLOOKUP(A3,'Initiative Log'!$A:$V,22,0),"")</f>
        <v>COGS</v>
      </c>
      <c r="W3" s="24" t="str">
        <f aca="false">IFERROR(VLOOKUP(A3,'Initiative Log'!$A:$L,12,0),"")</f>
        <v>Active</v>
      </c>
      <c r="X3" s="95" t="n">
        <f aca="false">IFERROR(VLOOKUP(A3,'Initiative Log'!$A:$S,19,0),0)</f>
        <v>0.3</v>
      </c>
      <c r="Y3" s="95" t="n">
        <f aca="false">IFERROR(VLOOKUP(A3,'Initiative Log'!$A:$T,20,0),0)</f>
        <v>0.8</v>
      </c>
      <c r="Z3" s="95" t="n">
        <f aca="false">IFERROR(VLOOKUP(A3,'Initiative Log'!$A:$U,21,0),0)</f>
        <v>1</v>
      </c>
    </row>
    <row r="4" customFormat="false" ht="18" hidden="false" customHeight="true" outlineLevel="0" collapsed="false">
      <c r="A4" s="90" t="s">
        <v>72</v>
      </c>
      <c r="B4" s="90" t="s">
        <v>349</v>
      </c>
      <c r="C4" s="90" t="s">
        <v>74</v>
      </c>
      <c r="D4" s="90" t="s">
        <v>21</v>
      </c>
      <c r="E4" s="90" t="s">
        <v>348</v>
      </c>
      <c r="F4" s="90" t="s">
        <v>73</v>
      </c>
      <c r="G4" s="90" t="s">
        <v>70</v>
      </c>
      <c r="H4" s="91" t="n">
        <v>1850000</v>
      </c>
      <c r="I4" s="91" t="n">
        <v>1850000</v>
      </c>
      <c r="J4" s="91" t="n">
        <v>950000</v>
      </c>
      <c r="K4" s="28" t="n">
        <f aca="false">I4-J4</f>
        <v>900000</v>
      </c>
      <c r="L4" s="28" t="n">
        <f aca="false">IFERROR(I4*X4,0)</f>
        <v>185000</v>
      </c>
      <c r="M4" s="28" t="n">
        <f aca="false">I4</f>
        <v>1850000</v>
      </c>
      <c r="N4" s="100" t="n">
        <f aca="false">IFERROR(I4/H4,0)</f>
        <v>1</v>
      </c>
      <c r="O4" s="101" t="n">
        <f aca="false">IFERROR(J4/I4,0)</f>
        <v>0.513513513513514</v>
      </c>
      <c r="P4" s="91" t="n">
        <v>2127500</v>
      </c>
      <c r="Q4" s="28" t="n">
        <f aca="false">I4-P4</f>
        <v>-277500</v>
      </c>
      <c r="R4" s="102" t="n">
        <f aca="false">IFERROR(I4/P4-1,0)</f>
        <v>-0.130434782608696</v>
      </c>
      <c r="S4" s="91" t="n">
        <v>1572500</v>
      </c>
      <c r="T4" s="28" t="n">
        <f aca="false">I4-S4</f>
        <v>277500</v>
      </c>
      <c r="U4" s="102" t="n">
        <f aca="false">IFERROR(I4/S4-1,0)</f>
        <v>0.176470588235294</v>
      </c>
      <c r="V4" s="97" t="str">
        <f aca="false">IFERROR(VLOOKUP(A4,'Initiative Log'!$A:$V,22,0),"")</f>
        <v>COGS</v>
      </c>
      <c r="W4" s="27" t="str">
        <f aca="false">IFERROR(VLOOKUP(A4,'Initiative Log'!$A:$L,12,0),"")</f>
        <v>Pipeline</v>
      </c>
      <c r="X4" s="97" t="n">
        <f aca="false">IFERROR(VLOOKUP(A4,'Initiative Log'!$A:$S,19,0),0)</f>
        <v>0.1</v>
      </c>
      <c r="Y4" s="97" t="n">
        <f aca="false">IFERROR(VLOOKUP(A4,'Initiative Log'!$A:$T,20,0),0)</f>
        <v>0.6</v>
      </c>
      <c r="Z4" s="97" t="n">
        <f aca="false">IFERROR(VLOOKUP(A4,'Initiative Log'!$A:$U,21,0),0)</f>
        <v>1</v>
      </c>
    </row>
    <row r="5" customFormat="false" ht="18" hidden="false" customHeight="true" outlineLevel="0" collapsed="false">
      <c r="A5" s="36" t="s">
        <v>130</v>
      </c>
      <c r="B5" s="36" t="s">
        <v>357</v>
      </c>
      <c r="C5" s="36" t="s">
        <v>69</v>
      </c>
      <c r="D5" s="36" t="s">
        <v>23</v>
      </c>
      <c r="E5" s="36" t="s">
        <v>356</v>
      </c>
      <c r="F5" s="36" t="s">
        <v>131</v>
      </c>
      <c r="G5" s="36" t="s">
        <v>132</v>
      </c>
      <c r="H5" s="88" t="n">
        <v>3100000</v>
      </c>
      <c r="I5" s="88" t="n">
        <v>3100000</v>
      </c>
      <c r="J5" s="88" t="n">
        <v>150000</v>
      </c>
      <c r="K5" s="25" t="n">
        <f aca="false">I5-J5</f>
        <v>2950000</v>
      </c>
      <c r="L5" s="25" t="n">
        <f aca="false">IFERROR(I5*X5,0)</f>
        <v>1550000</v>
      </c>
      <c r="M5" s="25" t="n">
        <f aca="false">I5</f>
        <v>3100000</v>
      </c>
      <c r="N5" s="38" t="n">
        <f aca="false">IFERROR(I5/H5,0)</f>
        <v>1</v>
      </c>
      <c r="O5" s="98" t="n">
        <f aca="false">IFERROR(J5/I5,0)</f>
        <v>0.0483870967741936</v>
      </c>
      <c r="P5" s="88" t="n">
        <v>3564999</v>
      </c>
      <c r="Q5" s="25" t="n">
        <f aca="false">I5-P5</f>
        <v>-464999</v>
      </c>
      <c r="R5" s="99" t="n">
        <f aca="false">IFERROR(I5/P5-1,0)</f>
        <v>-0.130434538691315</v>
      </c>
      <c r="S5" s="88" t="n">
        <v>2635000</v>
      </c>
      <c r="T5" s="25" t="n">
        <f aca="false">I5-S5</f>
        <v>465000</v>
      </c>
      <c r="U5" s="99" t="n">
        <f aca="false">IFERROR(I5/S5-1,0)</f>
        <v>0.176470588235294</v>
      </c>
      <c r="V5" s="95" t="str">
        <f aca="false">IFERROR(VLOOKUP(A5,'Initiative Log'!$A:$V,22,0),"")</f>
        <v>COGS</v>
      </c>
      <c r="W5" s="24" t="str">
        <f aca="false">IFERROR(VLOOKUP(A5,'Initiative Log'!$A:$L,12,0),"")</f>
        <v>Active</v>
      </c>
      <c r="X5" s="95" t="n">
        <f aca="false">IFERROR(VLOOKUP(A5,'Initiative Log'!$A:$S,19,0),0)</f>
        <v>0.5</v>
      </c>
      <c r="Y5" s="95" t="n">
        <f aca="false">IFERROR(VLOOKUP(A5,'Initiative Log'!$A:$T,20,0),0)</f>
        <v>1</v>
      </c>
      <c r="Z5" s="95" t="n">
        <f aca="false">IFERROR(VLOOKUP(A5,'Initiative Log'!$A:$U,21,0),0)</f>
        <v>1</v>
      </c>
    </row>
    <row r="6" customFormat="false" ht="18" hidden="false" customHeight="true" outlineLevel="0" collapsed="false">
      <c r="A6" s="90" t="s">
        <v>133</v>
      </c>
      <c r="B6" s="90" t="s">
        <v>357</v>
      </c>
      <c r="C6" s="90" t="s">
        <v>74</v>
      </c>
      <c r="D6" s="90" t="s">
        <v>23</v>
      </c>
      <c r="E6" s="90" t="s">
        <v>359</v>
      </c>
      <c r="F6" s="90" t="s">
        <v>134</v>
      </c>
      <c r="G6" s="90" t="s">
        <v>132</v>
      </c>
      <c r="H6" s="91" t="n">
        <v>1200000</v>
      </c>
      <c r="I6" s="91" t="n">
        <v>1200000</v>
      </c>
      <c r="J6" s="91" t="n">
        <v>80000</v>
      </c>
      <c r="K6" s="28" t="n">
        <f aca="false">I6-J6</f>
        <v>1120000</v>
      </c>
      <c r="L6" s="28" t="n">
        <f aca="false">IFERROR(I6*X6,0)</f>
        <v>600000</v>
      </c>
      <c r="M6" s="28" t="n">
        <f aca="false">I6</f>
        <v>1200000</v>
      </c>
      <c r="N6" s="100" t="n">
        <f aca="false">IFERROR(I6/H6,0)</f>
        <v>1</v>
      </c>
      <c r="O6" s="101" t="n">
        <f aca="false">IFERROR(J6/I6,0)</f>
        <v>0.0666666666666667</v>
      </c>
      <c r="P6" s="91" t="n">
        <v>1380000</v>
      </c>
      <c r="Q6" s="28" t="n">
        <f aca="false">I6-P6</f>
        <v>-180000</v>
      </c>
      <c r="R6" s="102" t="n">
        <f aca="false">IFERROR(I6/P6-1,0)</f>
        <v>-0.130434782608696</v>
      </c>
      <c r="S6" s="91" t="n">
        <v>1020000</v>
      </c>
      <c r="T6" s="28" t="n">
        <f aca="false">I6-S6</f>
        <v>180000</v>
      </c>
      <c r="U6" s="102" t="n">
        <f aca="false">IFERROR(I6/S6-1,0)</f>
        <v>0.176470588235294</v>
      </c>
      <c r="V6" s="97" t="str">
        <f aca="false">IFERROR(VLOOKUP(A6,'Initiative Log'!$A:$V,22,0),"")</f>
        <v>COGS</v>
      </c>
      <c r="W6" s="24" t="str">
        <f aca="false">IFERROR(VLOOKUP(A6,'Initiative Log'!$A:$L,12,0),"")</f>
        <v>Active</v>
      </c>
      <c r="X6" s="97" t="n">
        <f aca="false">IFERROR(VLOOKUP(A6,'Initiative Log'!$A:$S,19,0),0)</f>
        <v>0.5</v>
      </c>
      <c r="Y6" s="97" t="n">
        <f aca="false">IFERROR(VLOOKUP(A6,'Initiative Log'!$A:$T,20,0),0)</f>
        <v>1</v>
      </c>
      <c r="Z6" s="97" t="n">
        <f aca="false">IFERROR(VLOOKUP(A6,'Initiative Log'!$A:$U,21,0),0)</f>
        <v>1</v>
      </c>
    </row>
    <row r="7" customFormat="false" ht="18" hidden="false" customHeight="true" outlineLevel="0" collapsed="false">
      <c r="A7" s="36" t="s">
        <v>135</v>
      </c>
      <c r="B7" s="36" t="s">
        <v>362</v>
      </c>
      <c r="C7" s="36" t="s">
        <v>109</v>
      </c>
      <c r="D7" s="36" t="s">
        <v>23</v>
      </c>
      <c r="E7" s="36" t="s">
        <v>361</v>
      </c>
      <c r="F7" s="36" t="s">
        <v>136</v>
      </c>
      <c r="G7" s="36" t="s">
        <v>132</v>
      </c>
      <c r="H7" s="88" t="n">
        <v>875000</v>
      </c>
      <c r="I7" s="88" t="n">
        <v>875000</v>
      </c>
      <c r="J7" s="88" t="n">
        <v>50000</v>
      </c>
      <c r="K7" s="25" t="n">
        <f aca="false">I7-J7</f>
        <v>825000</v>
      </c>
      <c r="L7" s="25" t="n">
        <f aca="false">IFERROR(I7*X7,0)</f>
        <v>175000</v>
      </c>
      <c r="M7" s="25" t="n">
        <f aca="false">I7</f>
        <v>875000</v>
      </c>
      <c r="N7" s="38" t="n">
        <f aca="false">IFERROR(I7/H7,0)</f>
        <v>1</v>
      </c>
      <c r="O7" s="98" t="n">
        <f aca="false">IFERROR(J7/I7,0)</f>
        <v>0.0571428571428571</v>
      </c>
      <c r="P7" s="88" t="n">
        <v>1006249</v>
      </c>
      <c r="Q7" s="25" t="n">
        <f aca="false">I7-P7</f>
        <v>-131249</v>
      </c>
      <c r="R7" s="99" t="n">
        <f aca="false">IFERROR(I7/P7-1,0)</f>
        <v>-0.130433918443646</v>
      </c>
      <c r="S7" s="88" t="n">
        <v>743750</v>
      </c>
      <c r="T7" s="25" t="n">
        <f aca="false">I7-S7</f>
        <v>131250</v>
      </c>
      <c r="U7" s="99" t="n">
        <f aca="false">IFERROR(I7/S7-1,0)</f>
        <v>0.176470588235294</v>
      </c>
      <c r="V7" s="95" t="str">
        <f aca="false">IFERROR(VLOOKUP(A7,'Initiative Log'!$A:$V,22,0),"")</f>
        <v>COGS</v>
      </c>
      <c r="W7" s="27" t="str">
        <f aca="false">IFERROR(VLOOKUP(A7,'Initiative Log'!$A:$L,12,0),"")</f>
        <v>Pipeline</v>
      </c>
      <c r="X7" s="95" t="n">
        <f aca="false">IFERROR(VLOOKUP(A7,'Initiative Log'!$A:$S,19,0),0)</f>
        <v>0.2</v>
      </c>
      <c r="Y7" s="95" t="n">
        <f aca="false">IFERROR(VLOOKUP(A7,'Initiative Log'!$A:$T,20,0),0)</f>
        <v>0.8</v>
      </c>
      <c r="Z7" s="95" t="n">
        <f aca="false">IFERROR(VLOOKUP(A7,'Initiative Log'!$A:$U,21,0),0)</f>
        <v>1</v>
      </c>
    </row>
    <row r="8" customFormat="false" ht="18" hidden="false" customHeight="true" outlineLevel="0" collapsed="false">
      <c r="A8" s="90" t="s">
        <v>159</v>
      </c>
      <c r="B8" s="90" t="s">
        <v>366</v>
      </c>
      <c r="C8" s="90" t="s">
        <v>69</v>
      </c>
      <c r="D8" s="90" t="s">
        <v>26</v>
      </c>
      <c r="E8" s="90" t="s">
        <v>364</v>
      </c>
      <c r="F8" s="90" t="s">
        <v>160</v>
      </c>
      <c r="G8" s="90" t="s">
        <v>70</v>
      </c>
      <c r="H8" s="91" t="n">
        <v>620000</v>
      </c>
      <c r="I8" s="91" t="n">
        <v>620000</v>
      </c>
      <c r="J8" s="91" t="n">
        <v>40000</v>
      </c>
      <c r="K8" s="28" t="n">
        <f aca="false">I8-J8</f>
        <v>580000</v>
      </c>
      <c r="L8" s="28" t="n">
        <f aca="false">IFERROR(I8*X8,0)</f>
        <v>310000</v>
      </c>
      <c r="M8" s="28" t="n">
        <f aca="false">I8</f>
        <v>620000</v>
      </c>
      <c r="N8" s="100" t="n">
        <f aca="false">IFERROR(I8/H8,0)</f>
        <v>1</v>
      </c>
      <c r="O8" s="101" t="n">
        <f aca="false">IFERROR(J8/I8,0)</f>
        <v>0.0645161290322581</v>
      </c>
      <c r="P8" s="91" t="n">
        <v>713000</v>
      </c>
      <c r="Q8" s="28" t="n">
        <f aca="false">I8-P8</f>
        <v>-93000</v>
      </c>
      <c r="R8" s="102" t="n">
        <f aca="false">IFERROR(I8/P8-1,0)</f>
        <v>-0.130434782608696</v>
      </c>
      <c r="S8" s="91" t="n">
        <v>527000</v>
      </c>
      <c r="T8" s="28" t="n">
        <f aca="false">I8-S8</f>
        <v>93000</v>
      </c>
      <c r="U8" s="102" t="n">
        <f aca="false">IFERROR(I8/S8-1,0)</f>
        <v>0.176470588235294</v>
      </c>
      <c r="V8" s="97" t="str">
        <f aca="false">IFERROR(VLOOKUP(A8,'Initiative Log'!$A:$V,22,0),"")</f>
        <v>COGS</v>
      </c>
      <c r="W8" s="24" t="str">
        <f aca="false">IFERROR(VLOOKUP(A8,'Initiative Log'!$A:$L,12,0),"")</f>
        <v>Active</v>
      </c>
      <c r="X8" s="97" t="n">
        <f aca="false">IFERROR(VLOOKUP(A8,'Initiative Log'!$A:$S,19,0),0)</f>
        <v>0.5</v>
      </c>
      <c r="Y8" s="97" t="n">
        <f aca="false">IFERROR(VLOOKUP(A8,'Initiative Log'!$A:$T,20,0),0)</f>
        <v>1</v>
      </c>
      <c r="Z8" s="97" t="n">
        <f aca="false">IFERROR(VLOOKUP(A8,'Initiative Log'!$A:$U,21,0),0)</f>
        <v>1</v>
      </c>
    </row>
    <row r="9" customFormat="false" ht="18" hidden="false" customHeight="true" outlineLevel="0" collapsed="false">
      <c r="A9" s="36" t="s">
        <v>161</v>
      </c>
      <c r="B9" s="36" t="s">
        <v>366</v>
      </c>
      <c r="C9" s="36" t="s">
        <v>74</v>
      </c>
      <c r="D9" s="36" t="s">
        <v>26</v>
      </c>
      <c r="E9" s="36" t="s">
        <v>368</v>
      </c>
      <c r="F9" s="36" t="s">
        <v>162</v>
      </c>
      <c r="G9" s="36" t="s">
        <v>70</v>
      </c>
      <c r="H9" s="88" t="n">
        <v>480000</v>
      </c>
      <c r="I9" s="88" t="n">
        <v>480000</v>
      </c>
      <c r="J9" s="88" t="n">
        <v>120000</v>
      </c>
      <c r="K9" s="25" t="n">
        <f aca="false">I9-J9</f>
        <v>360000</v>
      </c>
      <c r="L9" s="25" t="n">
        <f aca="false">IFERROR(I9*X9,0)</f>
        <v>96000</v>
      </c>
      <c r="M9" s="25" t="n">
        <f aca="false">I9</f>
        <v>480000</v>
      </c>
      <c r="N9" s="38" t="n">
        <f aca="false">IFERROR(I9/H9,0)</f>
        <v>1</v>
      </c>
      <c r="O9" s="98" t="n">
        <f aca="false">IFERROR(J9/I9,0)</f>
        <v>0.25</v>
      </c>
      <c r="P9" s="88" t="n">
        <v>552000</v>
      </c>
      <c r="Q9" s="25" t="n">
        <f aca="false">I9-P9</f>
        <v>-72000</v>
      </c>
      <c r="R9" s="99" t="n">
        <f aca="false">IFERROR(I9/P9-1,0)</f>
        <v>-0.130434782608696</v>
      </c>
      <c r="S9" s="88" t="n">
        <v>408000</v>
      </c>
      <c r="T9" s="25" t="n">
        <f aca="false">I9-S9</f>
        <v>72000</v>
      </c>
      <c r="U9" s="99" t="n">
        <f aca="false">IFERROR(I9/S9-1,0)</f>
        <v>0.176470588235294</v>
      </c>
      <c r="V9" s="95" t="str">
        <f aca="false">IFERROR(VLOOKUP(A9,'Initiative Log'!$A:$V,22,0),"")</f>
        <v>COGS</v>
      </c>
      <c r="W9" s="27" t="str">
        <f aca="false">IFERROR(VLOOKUP(A9,'Initiative Log'!$A:$L,12,0),"")</f>
        <v>Pipeline</v>
      </c>
      <c r="X9" s="95" t="n">
        <f aca="false">IFERROR(VLOOKUP(A9,'Initiative Log'!$A:$S,19,0),0)</f>
        <v>0.2</v>
      </c>
      <c r="Y9" s="95" t="n">
        <f aca="false">IFERROR(VLOOKUP(A9,'Initiative Log'!$A:$T,20,0),0)</f>
        <v>0.8</v>
      </c>
      <c r="Z9" s="95" t="n">
        <f aca="false">IFERROR(VLOOKUP(A9,'Initiative Log'!$A:$U,21,0),0)</f>
        <v>1</v>
      </c>
    </row>
    <row r="10" customFormat="false" ht="18" hidden="false" customHeight="true" outlineLevel="0" collapsed="false">
      <c r="A10" s="90" t="s">
        <v>141</v>
      </c>
      <c r="B10" s="90" t="s">
        <v>372</v>
      </c>
      <c r="C10" s="90" t="s">
        <v>109</v>
      </c>
      <c r="D10" s="90" t="s">
        <v>24</v>
      </c>
      <c r="E10" s="90" t="s">
        <v>371</v>
      </c>
      <c r="F10" s="90" t="s">
        <v>142</v>
      </c>
      <c r="G10" s="90" t="s">
        <v>110</v>
      </c>
      <c r="H10" s="91" t="n">
        <v>950000</v>
      </c>
      <c r="I10" s="91" t="n">
        <v>950000</v>
      </c>
      <c r="J10" s="91" t="n">
        <v>75000</v>
      </c>
      <c r="K10" s="28" t="n">
        <f aca="false">I10-J10</f>
        <v>875000</v>
      </c>
      <c r="L10" s="28" t="n">
        <f aca="false">IFERROR(I10*X10,0)</f>
        <v>475000</v>
      </c>
      <c r="M10" s="28" t="n">
        <f aca="false">I10</f>
        <v>950000</v>
      </c>
      <c r="N10" s="100" t="n">
        <f aca="false">IFERROR(I10/H10,0)</f>
        <v>1</v>
      </c>
      <c r="O10" s="101" t="n">
        <f aca="false">IFERROR(J10/I10,0)</f>
        <v>0.0789473684210526</v>
      </c>
      <c r="P10" s="91" t="n">
        <v>1092500</v>
      </c>
      <c r="Q10" s="28" t="n">
        <f aca="false">I10-P10</f>
        <v>-142500</v>
      </c>
      <c r="R10" s="102" t="n">
        <f aca="false">IFERROR(I10/P10-1,0)</f>
        <v>-0.130434782608696</v>
      </c>
      <c r="S10" s="91" t="n">
        <v>807500</v>
      </c>
      <c r="T10" s="28" t="n">
        <f aca="false">I10-S10</f>
        <v>142500</v>
      </c>
      <c r="U10" s="102" t="n">
        <f aca="false">IFERROR(I10/S10-1,0)</f>
        <v>0.176470588235294</v>
      </c>
      <c r="V10" s="97" t="str">
        <f aca="false">IFERROR(VLOOKUP(A10,'Initiative Log'!$A:$V,22,0),"")</f>
        <v>SGA</v>
      </c>
      <c r="W10" s="24" t="str">
        <f aca="false">IFERROR(VLOOKUP(A10,'Initiative Log'!$A:$L,12,0),"")</f>
        <v>Active</v>
      </c>
      <c r="X10" s="97" t="n">
        <f aca="false">IFERROR(VLOOKUP(A10,'Initiative Log'!$A:$S,19,0),0)</f>
        <v>0.5</v>
      </c>
      <c r="Y10" s="97" t="n">
        <f aca="false">IFERROR(VLOOKUP(A10,'Initiative Log'!$A:$T,20,0),0)</f>
        <v>1</v>
      </c>
      <c r="Z10" s="97" t="n">
        <f aca="false">IFERROR(VLOOKUP(A10,'Initiative Log'!$A:$U,21,0),0)</f>
        <v>1</v>
      </c>
    </row>
    <row r="11" customFormat="false" ht="18" hidden="false" customHeight="true" outlineLevel="0" collapsed="false">
      <c r="A11" s="36" t="s">
        <v>143</v>
      </c>
      <c r="B11" s="36" t="s">
        <v>372</v>
      </c>
      <c r="C11" s="36" t="s">
        <v>69</v>
      </c>
      <c r="D11" s="36" t="s">
        <v>24</v>
      </c>
      <c r="E11" s="36" t="s">
        <v>374</v>
      </c>
      <c r="F11" s="36" t="s">
        <v>144</v>
      </c>
      <c r="G11" s="36" t="s">
        <v>110</v>
      </c>
      <c r="H11" s="88" t="n">
        <v>380000</v>
      </c>
      <c r="I11" s="88" t="n">
        <v>380000</v>
      </c>
      <c r="J11" s="88" t="n">
        <v>120000</v>
      </c>
      <c r="K11" s="25" t="n">
        <f aca="false">I11-J11</f>
        <v>260000</v>
      </c>
      <c r="L11" s="25" t="n">
        <f aca="false">IFERROR(I11*X11,0)</f>
        <v>152000</v>
      </c>
      <c r="M11" s="25" t="n">
        <f aca="false">I11</f>
        <v>380000</v>
      </c>
      <c r="N11" s="38" t="n">
        <f aca="false">IFERROR(I11/H11,0)</f>
        <v>1</v>
      </c>
      <c r="O11" s="98" t="n">
        <f aca="false">IFERROR(J11/I11,0)</f>
        <v>0.315789473684211</v>
      </c>
      <c r="P11" s="88" t="n">
        <v>436999</v>
      </c>
      <c r="Q11" s="25" t="n">
        <f aca="false">I11-P11</f>
        <v>-56999</v>
      </c>
      <c r="R11" s="99" t="n">
        <f aca="false">IFERROR(I11/P11-1,0)</f>
        <v>-0.130432792752386</v>
      </c>
      <c r="S11" s="88" t="n">
        <v>323000</v>
      </c>
      <c r="T11" s="25" t="n">
        <f aca="false">I11-S11</f>
        <v>57000</v>
      </c>
      <c r="U11" s="99" t="n">
        <f aca="false">IFERROR(I11/S11-1,0)</f>
        <v>0.176470588235294</v>
      </c>
      <c r="V11" s="95" t="str">
        <f aca="false">IFERROR(VLOOKUP(A11,'Initiative Log'!$A:$V,22,0),"")</f>
        <v>SGA</v>
      </c>
      <c r="W11" s="24" t="str">
        <f aca="false">IFERROR(VLOOKUP(A11,'Initiative Log'!$A:$L,12,0),"")</f>
        <v>Active</v>
      </c>
      <c r="X11" s="95" t="n">
        <f aca="false">IFERROR(VLOOKUP(A11,'Initiative Log'!$A:$S,19,0),0)</f>
        <v>0.4</v>
      </c>
      <c r="Y11" s="95" t="n">
        <f aca="false">IFERROR(VLOOKUP(A11,'Initiative Log'!$A:$T,20,0),0)</f>
        <v>1</v>
      </c>
      <c r="Z11" s="95" t="n">
        <f aca="false">IFERROR(VLOOKUP(A11,'Initiative Log'!$A:$U,21,0),0)</f>
        <v>1</v>
      </c>
    </row>
    <row r="12" customFormat="false" ht="18" hidden="false" customHeight="true" outlineLevel="0" collapsed="false">
      <c r="A12" s="90" t="s">
        <v>149</v>
      </c>
      <c r="B12" s="90" t="s">
        <v>377</v>
      </c>
      <c r="C12" s="90" t="s">
        <v>74</v>
      </c>
      <c r="D12" s="90" t="s">
        <v>25</v>
      </c>
      <c r="E12" s="90" t="s">
        <v>376</v>
      </c>
      <c r="F12" s="90" t="s">
        <v>150</v>
      </c>
      <c r="G12" s="90" t="s">
        <v>123</v>
      </c>
      <c r="H12" s="91" t="n">
        <v>1400000</v>
      </c>
      <c r="I12" s="91" t="n">
        <v>1400000</v>
      </c>
      <c r="J12" s="91" t="n">
        <v>2200000</v>
      </c>
      <c r="K12" s="28" t="n">
        <f aca="false">I12-J12</f>
        <v>-800000</v>
      </c>
      <c r="L12" s="28" t="n">
        <f aca="false">IFERROR(I12*X12,0)</f>
        <v>140000</v>
      </c>
      <c r="M12" s="28" t="n">
        <f aca="false">I12</f>
        <v>1400000</v>
      </c>
      <c r="N12" s="100" t="n">
        <f aca="false">IFERROR(I12/H12,0)</f>
        <v>1</v>
      </c>
      <c r="O12" s="101" t="n">
        <f aca="false">IFERROR(J12/I12,0)</f>
        <v>1.57142857142857</v>
      </c>
      <c r="P12" s="91" t="n">
        <v>1609999</v>
      </c>
      <c r="Q12" s="28" t="n">
        <f aca="false">I12-P12</f>
        <v>-209999</v>
      </c>
      <c r="R12" s="102" t="n">
        <f aca="false">IFERROR(I12/P12-1,0)</f>
        <v>-0.130434242505741</v>
      </c>
      <c r="S12" s="91" t="n">
        <v>1190000</v>
      </c>
      <c r="T12" s="28" t="n">
        <f aca="false">I12-S12</f>
        <v>210000</v>
      </c>
      <c r="U12" s="102" t="n">
        <f aca="false">IFERROR(I12/S12-1,0)</f>
        <v>0.176470588235294</v>
      </c>
      <c r="V12" s="97" t="str">
        <f aca="false">IFERROR(VLOOKUP(A12,'Initiative Log'!$A:$V,22,0),"")</f>
        <v>SGA</v>
      </c>
      <c r="W12" s="27" t="str">
        <f aca="false">IFERROR(VLOOKUP(A12,'Initiative Log'!$A:$L,12,0),"")</f>
        <v>Pipeline</v>
      </c>
      <c r="X12" s="97" t="n">
        <f aca="false">IFERROR(VLOOKUP(A12,'Initiative Log'!$A:$S,19,0),0)</f>
        <v>0.1</v>
      </c>
      <c r="Y12" s="97" t="n">
        <f aca="false">IFERROR(VLOOKUP(A12,'Initiative Log'!$A:$T,20,0),0)</f>
        <v>0.6</v>
      </c>
      <c r="Z12" s="97" t="n">
        <f aca="false">IFERROR(VLOOKUP(A12,'Initiative Log'!$A:$U,21,0),0)</f>
        <v>1</v>
      </c>
    </row>
    <row r="13" customFormat="false" ht="18" hidden="false" customHeight="true" outlineLevel="0" collapsed="false">
      <c r="A13" s="36" t="s">
        <v>151</v>
      </c>
      <c r="B13" s="36" t="s">
        <v>377</v>
      </c>
      <c r="C13" s="36" t="s">
        <v>109</v>
      </c>
      <c r="D13" s="36" t="s">
        <v>25</v>
      </c>
      <c r="E13" s="36" t="s">
        <v>379</v>
      </c>
      <c r="F13" s="36" t="s">
        <v>152</v>
      </c>
      <c r="G13" s="36" t="s">
        <v>123</v>
      </c>
      <c r="H13" s="88" t="n">
        <v>420000</v>
      </c>
      <c r="I13" s="88" t="n">
        <v>420000</v>
      </c>
      <c r="J13" s="88" t="n">
        <v>30000</v>
      </c>
      <c r="K13" s="25" t="n">
        <f aca="false">I13-J13</f>
        <v>390000</v>
      </c>
      <c r="L13" s="25" t="n">
        <f aca="false">IFERROR(I13*X13,0)</f>
        <v>210000</v>
      </c>
      <c r="M13" s="25" t="n">
        <f aca="false">I13</f>
        <v>420000</v>
      </c>
      <c r="N13" s="38" t="n">
        <f aca="false">IFERROR(I13/H13,0)</f>
        <v>1</v>
      </c>
      <c r="O13" s="98" t="n">
        <f aca="false">IFERROR(J13/I13,0)</f>
        <v>0.0714285714285714</v>
      </c>
      <c r="P13" s="88" t="n">
        <v>482999</v>
      </c>
      <c r="Q13" s="25" t="n">
        <f aca="false">I13-P13</f>
        <v>-62999</v>
      </c>
      <c r="R13" s="99" t="n">
        <f aca="false">IFERROR(I13/P13-1,0)</f>
        <v>-0.130432982262903</v>
      </c>
      <c r="S13" s="88" t="n">
        <v>357000</v>
      </c>
      <c r="T13" s="25" t="n">
        <f aca="false">I13-S13</f>
        <v>63000</v>
      </c>
      <c r="U13" s="99" t="n">
        <f aca="false">IFERROR(I13/S13-1,0)</f>
        <v>0.176470588235294</v>
      </c>
      <c r="V13" s="95" t="str">
        <f aca="false">IFERROR(VLOOKUP(A13,'Initiative Log'!$A:$V,22,0),"")</f>
        <v>SGA</v>
      </c>
      <c r="W13" s="24" t="str">
        <f aca="false">IFERROR(VLOOKUP(A13,'Initiative Log'!$A:$L,12,0),"")</f>
        <v>Active</v>
      </c>
      <c r="X13" s="95" t="n">
        <f aca="false">IFERROR(VLOOKUP(A13,'Initiative Log'!$A:$S,19,0),0)</f>
        <v>0.5</v>
      </c>
      <c r="Y13" s="95" t="n">
        <f aca="false">IFERROR(VLOOKUP(A13,'Initiative Log'!$A:$T,20,0),0)</f>
        <v>1</v>
      </c>
      <c r="Z13" s="95" t="n">
        <f aca="false">IFERROR(VLOOKUP(A13,'Initiative Log'!$A:$U,21,0),0)</f>
        <v>1</v>
      </c>
    </row>
    <row r="14" customFormat="false" ht="18" hidden="false" customHeight="true" outlineLevel="0" collapsed="false">
      <c r="A14" s="90" t="s">
        <v>153</v>
      </c>
      <c r="B14" s="90" t="s">
        <v>382</v>
      </c>
      <c r="C14" s="90" t="s">
        <v>69</v>
      </c>
      <c r="D14" s="90" t="s">
        <v>25</v>
      </c>
      <c r="E14" s="90" t="s">
        <v>381</v>
      </c>
      <c r="F14" s="90" t="s">
        <v>154</v>
      </c>
      <c r="G14" s="90" t="s">
        <v>104</v>
      </c>
      <c r="H14" s="91" t="n">
        <v>2800000</v>
      </c>
      <c r="I14" s="91" t="n">
        <v>2800000</v>
      </c>
      <c r="J14" s="91" t="n">
        <v>200000</v>
      </c>
      <c r="K14" s="28" t="n">
        <f aca="false">I14-J14</f>
        <v>2600000</v>
      </c>
      <c r="L14" s="28" t="n">
        <f aca="false">IFERROR(I14*X14,0)</f>
        <v>1120000</v>
      </c>
      <c r="M14" s="28" t="n">
        <f aca="false">I14</f>
        <v>2800000</v>
      </c>
      <c r="N14" s="100" t="n">
        <f aca="false">IFERROR(I14/H14,0)</f>
        <v>1</v>
      </c>
      <c r="O14" s="101" t="n">
        <f aca="false">IFERROR(J14/I14,0)</f>
        <v>0.0714285714285714</v>
      </c>
      <c r="P14" s="91" t="n">
        <v>3219999</v>
      </c>
      <c r="Q14" s="28" t="n">
        <f aca="false">I14-P14</f>
        <v>-419999</v>
      </c>
      <c r="R14" s="102" t="n">
        <f aca="false">IFERROR(I14/P14-1,0)</f>
        <v>-0.130434512557302</v>
      </c>
      <c r="S14" s="91" t="n">
        <v>2380000</v>
      </c>
      <c r="T14" s="28" t="n">
        <f aca="false">I14-S14</f>
        <v>420000</v>
      </c>
      <c r="U14" s="102" t="n">
        <f aca="false">IFERROR(I14/S14-1,0)</f>
        <v>0.176470588235294</v>
      </c>
      <c r="V14" s="97" t="str">
        <f aca="false">IFERROR(VLOOKUP(A14,'Initiative Log'!$A:$V,22,0),"")</f>
        <v>RD</v>
      </c>
      <c r="W14" s="24" t="str">
        <f aca="false">IFERROR(VLOOKUP(A14,'Initiative Log'!$A:$L,12,0),"")</f>
        <v>Active</v>
      </c>
      <c r="X14" s="97" t="n">
        <f aca="false">IFERROR(VLOOKUP(A14,'Initiative Log'!$A:$S,19,0),0)</f>
        <v>0.4</v>
      </c>
      <c r="Y14" s="97" t="n">
        <f aca="false">IFERROR(VLOOKUP(A14,'Initiative Log'!$A:$T,20,0),0)</f>
        <v>0.9</v>
      </c>
      <c r="Z14" s="97" t="n">
        <f aca="false">IFERROR(VLOOKUP(A14,'Initiative Log'!$A:$U,21,0),0)</f>
        <v>1</v>
      </c>
    </row>
    <row r="15" customFormat="false" ht="18" hidden="false" customHeight="true" outlineLevel="0" collapsed="false">
      <c r="A15" s="36" t="s">
        <v>167</v>
      </c>
      <c r="B15" s="36" t="s">
        <v>386</v>
      </c>
      <c r="C15" s="36" t="s">
        <v>74</v>
      </c>
      <c r="D15" s="36" t="s">
        <v>27</v>
      </c>
      <c r="E15" s="36" t="s">
        <v>384</v>
      </c>
      <c r="F15" s="36" t="s">
        <v>168</v>
      </c>
      <c r="G15" s="36" t="s">
        <v>98</v>
      </c>
      <c r="H15" s="88" t="n">
        <v>760000</v>
      </c>
      <c r="I15" s="88" t="n">
        <v>760000</v>
      </c>
      <c r="J15" s="88" t="n">
        <v>180000</v>
      </c>
      <c r="K15" s="25" t="n">
        <f aca="false">I15-J15</f>
        <v>580000</v>
      </c>
      <c r="L15" s="25" t="n">
        <f aca="false">IFERROR(I15*X15,0)</f>
        <v>380000</v>
      </c>
      <c r="M15" s="25" t="n">
        <f aca="false">I15</f>
        <v>760000</v>
      </c>
      <c r="N15" s="38" t="n">
        <f aca="false">IFERROR(I15/H15,0)</f>
        <v>1</v>
      </c>
      <c r="O15" s="98" t="n">
        <f aca="false">IFERROR(J15/I15,0)</f>
        <v>0.236842105263158</v>
      </c>
      <c r="P15" s="88" t="n">
        <v>873999</v>
      </c>
      <c r="Q15" s="25" t="n">
        <f aca="false">I15-P15</f>
        <v>-113999</v>
      </c>
      <c r="R15" s="99" t="n">
        <f aca="false">IFERROR(I15/P15-1,0)</f>
        <v>-0.130433787681679</v>
      </c>
      <c r="S15" s="88" t="n">
        <v>646000</v>
      </c>
      <c r="T15" s="25" t="n">
        <f aca="false">I15-S15</f>
        <v>114000</v>
      </c>
      <c r="U15" s="99" t="n">
        <f aca="false">IFERROR(I15/S15-1,0)</f>
        <v>0.176470588235294</v>
      </c>
      <c r="V15" s="95" t="str">
        <f aca="false">IFERROR(VLOOKUP(A15,'Initiative Log'!$A:$V,22,0),"")</f>
        <v>SGA</v>
      </c>
      <c r="W15" s="24" t="str">
        <f aca="false">IFERROR(VLOOKUP(A15,'Initiative Log'!$A:$L,12,0),"")</f>
        <v>Active</v>
      </c>
      <c r="X15" s="95" t="n">
        <f aca="false">IFERROR(VLOOKUP(A15,'Initiative Log'!$A:$S,19,0),0)</f>
        <v>0.5</v>
      </c>
      <c r="Y15" s="95" t="n">
        <f aca="false">IFERROR(VLOOKUP(A15,'Initiative Log'!$A:$T,20,0),0)</f>
        <v>1</v>
      </c>
      <c r="Z15" s="95" t="n">
        <f aca="false">IFERROR(VLOOKUP(A15,'Initiative Log'!$A:$U,21,0),0)</f>
        <v>1</v>
      </c>
    </row>
    <row r="16" customFormat="false" ht="18" hidden="false" customHeight="true" outlineLevel="0" collapsed="false">
      <c r="A16" s="90" t="s">
        <v>169</v>
      </c>
      <c r="B16" s="90" t="s">
        <v>389</v>
      </c>
      <c r="C16" s="90" t="s">
        <v>109</v>
      </c>
      <c r="D16" s="90" t="s">
        <v>27</v>
      </c>
      <c r="E16" s="90" t="s">
        <v>388</v>
      </c>
      <c r="F16" s="90" t="s">
        <v>170</v>
      </c>
      <c r="G16" s="90" t="s">
        <v>98</v>
      </c>
      <c r="H16" s="91" t="n">
        <v>1100000</v>
      </c>
      <c r="I16" s="91" t="n">
        <v>1100000</v>
      </c>
      <c r="J16" s="91" t="n">
        <v>0</v>
      </c>
      <c r="K16" s="28" t="n">
        <f aca="false">I16-J16</f>
        <v>1100000</v>
      </c>
      <c r="L16" s="28" t="n">
        <f aca="false">IFERROR(I16*X16,0)</f>
        <v>1100000</v>
      </c>
      <c r="M16" s="28" t="n">
        <f aca="false">I16</f>
        <v>1100000</v>
      </c>
      <c r="N16" s="100" t="n">
        <f aca="false">IFERROR(I16/H16,0)</f>
        <v>1</v>
      </c>
      <c r="O16" s="101" t="n">
        <f aca="false">IFERROR(J16/I16,0)</f>
        <v>0</v>
      </c>
      <c r="P16" s="91" t="n">
        <v>1265000</v>
      </c>
      <c r="Q16" s="28" t="n">
        <f aca="false">I16-P16</f>
        <v>-165000</v>
      </c>
      <c r="R16" s="102" t="n">
        <f aca="false">IFERROR(I16/P16-1,0)</f>
        <v>-0.130434782608696</v>
      </c>
      <c r="S16" s="91" t="n">
        <v>935000</v>
      </c>
      <c r="T16" s="28" t="n">
        <f aca="false">I16-S16</f>
        <v>165000</v>
      </c>
      <c r="U16" s="102" t="n">
        <f aca="false">IFERROR(I16/S16-1,0)</f>
        <v>0.176470588235294</v>
      </c>
      <c r="V16" s="97" t="str">
        <f aca="false">IFERROR(VLOOKUP(A16,'Initiative Log'!$A:$V,22,0),"")</f>
        <v>SGA</v>
      </c>
      <c r="W16" s="42" t="str">
        <f aca="false">IFERROR(VLOOKUP(A16,'Initiative Log'!$A:$L,12,0),"")</f>
        <v>Complete</v>
      </c>
      <c r="X16" s="97" t="n">
        <f aca="false">IFERROR(VLOOKUP(A16,'Initiative Log'!$A:$S,19,0),0)</f>
        <v>1</v>
      </c>
      <c r="Y16" s="97" t="n">
        <f aca="false">IFERROR(VLOOKUP(A16,'Initiative Log'!$A:$T,20,0),0)</f>
        <v>1</v>
      </c>
      <c r="Z16" s="97" t="n">
        <f aca="false">IFERROR(VLOOKUP(A16,'Initiative Log'!$A:$U,21,0),0)</f>
        <v>1</v>
      </c>
    </row>
    <row r="17" customFormat="false" ht="18" hidden="false" customHeight="true" outlineLevel="0" collapsed="false">
      <c r="A17" s="36" t="s">
        <v>124</v>
      </c>
      <c r="B17" s="36" t="s">
        <v>392</v>
      </c>
      <c r="C17" s="36" t="s">
        <v>74</v>
      </c>
      <c r="D17" s="36" t="s">
        <v>22</v>
      </c>
      <c r="E17" s="36" t="s">
        <v>391</v>
      </c>
      <c r="F17" s="36" t="s">
        <v>125</v>
      </c>
      <c r="G17" s="36" t="s">
        <v>98</v>
      </c>
      <c r="H17" s="88" t="n">
        <v>480000</v>
      </c>
      <c r="I17" s="88" t="n">
        <v>480000</v>
      </c>
      <c r="J17" s="88" t="n">
        <v>25000</v>
      </c>
      <c r="K17" s="25" t="n">
        <f aca="false">I17-J17</f>
        <v>455000</v>
      </c>
      <c r="L17" s="25" t="n">
        <f aca="false">IFERROR(I17*X17,0)</f>
        <v>240000</v>
      </c>
      <c r="M17" s="25" t="n">
        <f aca="false">I17</f>
        <v>480000</v>
      </c>
      <c r="N17" s="38" t="n">
        <f aca="false">IFERROR(I17/H17,0)</f>
        <v>1</v>
      </c>
      <c r="O17" s="98" t="n">
        <f aca="false">IFERROR(J17/I17,0)</f>
        <v>0.0520833333333333</v>
      </c>
      <c r="P17" s="88" t="n">
        <v>552000</v>
      </c>
      <c r="Q17" s="25" t="n">
        <f aca="false">I17-P17</f>
        <v>-72000</v>
      </c>
      <c r="R17" s="99" t="n">
        <f aca="false">IFERROR(I17/P17-1,0)</f>
        <v>-0.130434782608696</v>
      </c>
      <c r="S17" s="88" t="n">
        <v>408000</v>
      </c>
      <c r="T17" s="25" t="n">
        <f aca="false">I17-S17</f>
        <v>72000</v>
      </c>
      <c r="U17" s="99" t="n">
        <f aca="false">IFERROR(I17/S17-1,0)</f>
        <v>0.176470588235294</v>
      </c>
      <c r="V17" s="95" t="str">
        <f aca="false">IFERROR(VLOOKUP(A17,'Initiative Log'!$A:$V,22,0),"")</f>
        <v>SGA</v>
      </c>
      <c r="W17" s="24" t="str">
        <f aca="false">IFERROR(VLOOKUP(A17,'Initiative Log'!$A:$L,12,0),"")</f>
        <v>Active</v>
      </c>
      <c r="X17" s="95" t="n">
        <f aca="false">IFERROR(VLOOKUP(A17,'Initiative Log'!$A:$S,19,0),0)</f>
        <v>0.5</v>
      </c>
      <c r="Y17" s="95" t="n">
        <f aca="false">IFERROR(VLOOKUP(A17,'Initiative Log'!$A:$T,20,0),0)</f>
        <v>1</v>
      </c>
      <c r="Z17" s="95" t="n">
        <f aca="false">IFERROR(VLOOKUP(A17,'Initiative Log'!$A:$U,21,0),0)</f>
        <v>1</v>
      </c>
    </row>
    <row r="18" customFormat="false" ht="19.5" hidden="false" customHeight="true" outlineLevel="0" collapsed="false">
      <c r="A18" s="18" t="s">
        <v>394</v>
      </c>
      <c r="B18" s="18"/>
      <c r="C18" s="18"/>
      <c r="D18" s="18"/>
      <c r="E18" s="18"/>
      <c r="F18" s="18"/>
      <c r="G18" s="18"/>
      <c r="H18" s="15" t="n">
        <f aca="false">SUM(H3:H17)</f>
        <v>20615000</v>
      </c>
      <c r="I18" s="15" t="n">
        <f aca="false">SUM(I3:I17)</f>
        <v>20615000</v>
      </c>
      <c r="J18" s="15" t="n">
        <f aca="false">SUM(J3:J17)</f>
        <v>6020000</v>
      </c>
      <c r="K18" s="15" t="n">
        <f aca="false">SUM(K3:K17)</f>
        <v>14595000</v>
      </c>
      <c r="L18" s="15" t="n">
        <f aca="false">SUM(L3:L17)</f>
        <v>7993000</v>
      </c>
      <c r="M18" s="15" t="n">
        <f aca="false">SUM(M3:M17)</f>
        <v>20615000</v>
      </c>
      <c r="N18" s="93"/>
      <c r="O18" s="93"/>
      <c r="P18" s="15" t="n">
        <f aca="false">SUM(P3:P17)</f>
        <v>23707243</v>
      </c>
      <c r="Q18" s="15" t="n">
        <f aca="false">SUM(Q3:Q17)</f>
        <v>-3092243</v>
      </c>
      <c r="R18" s="93"/>
      <c r="S18" s="15" t="n">
        <f aca="false">SUM(S3:S17)</f>
        <v>17522750</v>
      </c>
      <c r="T18" s="15" t="n">
        <f aca="false">SUM(T3:T17)</f>
        <v>3092250</v>
      </c>
      <c r="U18" s="93"/>
      <c r="V18" s="93"/>
      <c r="W18" s="93"/>
      <c r="X18" s="93"/>
      <c r="Y18" s="93"/>
      <c r="Z18" s="93"/>
    </row>
  </sheetData>
  <mergeCells count="2">
    <mergeCell ref="A1:Z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451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03"/>
      <c r="B2" s="104"/>
      <c r="C2" s="104"/>
      <c r="D2" s="104"/>
      <c r="E2" s="104"/>
      <c r="F2" s="104"/>
    </row>
    <row r="3" customFormat="false" ht="18" hidden="false" customHeight="true" outlineLevel="0" collapsed="false">
      <c r="A3" s="105" t="s">
        <v>452</v>
      </c>
      <c r="B3" s="105"/>
      <c r="C3" s="105"/>
      <c r="D3" s="105"/>
      <c r="E3" s="105"/>
      <c r="F3" s="105"/>
    </row>
    <row r="4" customFormat="false" ht="18" hidden="false" customHeight="true" outlineLevel="0" collapsed="false">
      <c r="A4" s="103" t="s">
        <v>453</v>
      </c>
      <c r="B4" s="104" t="s">
        <v>454</v>
      </c>
      <c r="C4" s="104"/>
      <c r="D4" s="104"/>
      <c r="E4" s="104"/>
      <c r="F4" s="104"/>
    </row>
    <row r="5" customFormat="false" ht="18" hidden="false" customHeight="true" outlineLevel="0" collapsed="false">
      <c r="A5" s="103" t="s">
        <v>455</v>
      </c>
      <c r="B5" s="104" t="s">
        <v>456</v>
      </c>
      <c r="C5" s="104"/>
      <c r="D5" s="104"/>
      <c r="E5" s="104"/>
      <c r="F5" s="104"/>
    </row>
    <row r="6" customFormat="false" ht="18" hidden="false" customHeight="true" outlineLevel="0" collapsed="false">
      <c r="A6" s="103" t="s">
        <v>457</v>
      </c>
      <c r="B6" s="104" t="s">
        <v>458</v>
      </c>
      <c r="C6" s="104"/>
      <c r="D6" s="104"/>
      <c r="E6" s="104"/>
      <c r="F6" s="104"/>
    </row>
    <row r="7" customFormat="false" ht="18" hidden="false" customHeight="true" outlineLevel="0" collapsed="false">
      <c r="A7" s="103" t="s">
        <v>459</v>
      </c>
      <c r="B7" s="104" t="s">
        <v>460</v>
      </c>
      <c r="C7" s="104"/>
      <c r="D7" s="104"/>
      <c r="E7" s="104"/>
      <c r="F7" s="104"/>
    </row>
    <row r="8" customFormat="false" ht="18" hidden="false" customHeight="true" outlineLevel="0" collapsed="false">
      <c r="A8" s="103"/>
      <c r="B8" s="104"/>
      <c r="C8" s="104"/>
      <c r="D8" s="104"/>
      <c r="E8" s="104"/>
      <c r="F8" s="104"/>
    </row>
    <row r="9" customFormat="false" ht="18" hidden="false" customHeight="true" outlineLevel="0" collapsed="false">
      <c r="A9" s="105" t="s">
        <v>461</v>
      </c>
      <c r="B9" s="105"/>
      <c r="C9" s="105"/>
      <c r="D9" s="105"/>
      <c r="E9" s="105"/>
      <c r="F9" s="105"/>
    </row>
    <row r="10" customFormat="false" ht="18" hidden="false" customHeight="true" outlineLevel="0" collapsed="false">
      <c r="A10" s="103" t="s">
        <v>462</v>
      </c>
      <c r="B10" s="104" t="s">
        <v>463</v>
      </c>
      <c r="C10" s="104"/>
      <c r="D10" s="104"/>
      <c r="E10" s="104"/>
      <c r="F10" s="104"/>
    </row>
    <row r="11" customFormat="false" ht="18" hidden="false" customHeight="true" outlineLevel="0" collapsed="false">
      <c r="A11" s="103" t="s">
        <v>464</v>
      </c>
      <c r="B11" s="104" t="s">
        <v>465</v>
      </c>
      <c r="C11" s="104"/>
      <c r="D11" s="104"/>
      <c r="E11" s="104"/>
      <c r="F11" s="104"/>
    </row>
    <row r="12" customFormat="false" ht="18" hidden="false" customHeight="true" outlineLevel="0" collapsed="false">
      <c r="A12" s="103" t="s">
        <v>466</v>
      </c>
      <c r="B12" s="104" t="s">
        <v>467</v>
      </c>
      <c r="C12" s="104"/>
      <c r="D12" s="104"/>
      <c r="E12" s="104"/>
      <c r="F12" s="104"/>
    </row>
    <row r="13" customFormat="false" ht="18" hidden="false" customHeight="true" outlineLevel="0" collapsed="false">
      <c r="A13" s="103" t="s">
        <v>468</v>
      </c>
      <c r="B13" s="104" t="s">
        <v>469</v>
      </c>
      <c r="C13" s="104"/>
      <c r="D13" s="104"/>
      <c r="E13" s="104"/>
      <c r="F13" s="104"/>
    </row>
    <row r="14" customFormat="false" ht="18" hidden="false" customHeight="true" outlineLevel="0" collapsed="false">
      <c r="A14" s="103" t="s">
        <v>470</v>
      </c>
      <c r="B14" s="104" t="s">
        <v>471</v>
      </c>
      <c r="C14" s="104"/>
      <c r="D14" s="104"/>
      <c r="E14" s="104"/>
      <c r="F14" s="104"/>
    </row>
    <row r="15" customFormat="false" ht="18" hidden="false" customHeight="true" outlineLevel="0" collapsed="false">
      <c r="A15" s="103" t="s">
        <v>472</v>
      </c>
      <c r="B15" s="104" t="s">
        <v>473</v>
      </c>
      <c r="C15" s="104"/>
      <c r="D15" s="104"/>
      <c r="E15" s="104"/>
      <c r="F15" s="104"/>
    </row>
    <row r="16" customFormat="false" ht="18" hidden="false" customHeight="true" outlineLevel="0" collapsed="false">
      <c r="A16" s="103"/>
      <c r="B16" s="104"/>
      <c r="C16" s="104"/>
      <c r="D16" s="104"/>
      <c r="E16" s="104"/>
      <c r="F16" s="104"/>
    </row>
    <row r="17" customFormat="false" ht="18" hidden="false" customHeight="true" outlineLevel="0" collapsed="false">
      <c r="A17" s="105" t="s">
        <v>474</v>
      </c>
      <c r="B17" s="105"/>
      <c r="C17" s="105"/>
      <c r="D17" s="105"/>
      <c r="E17" s="105"/>
      <c r="F17" s="105"/>
    </row>
    <row r="18" customFormat="false" ht="18" hidden="false" customHeight="true" outlineLevel="0" collapsed="false">
      <c r="A18" s="103" t="s">
        <v>475</v>
      </c>
      <c r="B18" s="104" t="s">
        <v>476</v>
      </c>
      <c r="C18" s="104"/>
      <c r="D18" s="104"/>
      <c r="E18" s="104"/>
      <c r="F18" s="104"/>
    </row>
    <row r="19" customFormat="false" ht="18" hidden="false" customHeight="true" outlineLevel="0" collapsed="false">
      <c r="A19" s="103" t="s">
        <v>477</v>
      </c>
      <c r="B19" s="104" t="s">
        <v>478</v>
      </c>
      <c r="C19" s="104"/>
      <c r="D19" s="104"/>
      <c r="E19" s="104"/>
      <c r="F19" s="104"/>
    </row>
    <row r="20" customFormat="false" ht="18" hidden="false" customHeight="true" outlineLevel="0" collapsed="false">
      <c r="A20" s="103" t="s">
        <v>479</v>
      </c>
      <c r="B20" s="104" t="s">
        <v>480</v>
      </c>
      <c r="C20" s="104"/>
      <c r="D20" s="104"/>
      <c r="E20" s="104"/>
      <c r="F20" s="104"/>
    </row>
    <row r="21" customFormat="false" ht="18" hidden="false" customHeight="true" outlineLevel="0" collapsed="false">
      <c r="A21" s="103" t="s">
        <v>481</v>
      </c>
      <c r="B21" s="104" t="s">
        <v>482</v>
      </c>
      <c r="C21" s="104"/>
      <c r="D21" s="104"/>
      <c r="E21" s="104"/>
      <c r="F21" s="104"/>
    </row>
  </sheetData>
  <mergeCells count="21">
    <mergeCell ref="A1:H1"/>
    <mergeCell ref="B2:F2"/>
    <mergeCell ref="A3:F3"/>
    <mergeCell ref="B4:F4"/>
    <mergeCell ref="B5:F5"/>
    <mergeCell ref="B6:F6"/>
    <mergeCell ref="B7:F7"/>
    <mergeCell ref="B8:F8"/>
    <mergeCell ref="A9:F9"/>
    <mergeCell ref="B10:F10"/>
    <mergeCell ref="B11:F11"/>
    <mergeCell ref="B12:F12"/>
    <mergeCell ref="B13:F13"/>
    <mergeCell ref="B14:F14"/>
    <mergeCell ref="B15:F15"/>
    <mergeCell ref="B16:F16"/>
    <mergeCell ref="A17:F17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2026-04-20T04:31:11Z</dcterms:created>
  <dc:creator>openpyxl</dc:creator>
  <dc:description/>
  <dc:language>en-US</dc:language>
  <cp:lastModifiedBy/>
  <dcterms:modified xsi:type="dcterms:W3CDTF">2026-04-20T04:31:11Z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