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 Dashboard" sheetId="1" state="visible" r:id="rId3"/>
    <sheet name="Manufacturing Summary" sheetId="2" state="visible" r:id="rId4"/>
    <sheet name="Procurement Summary" sheetId="3" state="visible" r:id="rId5"/>
    <sheet name="Marketing Summary" sheetId="4" state="visible" r:id="rId6"/>
    <sheet name="Technology Summary" sheetId="5" state="visible" r:id="rId7"/>
    <sheet name="Distribution Summary" sheetId="6" state="visible" r:id="rId8"/>
    <sheet name="Public-to-Private Summary" sheetId="7" state="visible" r:id="rId9"/>
    <sheet name="P&amp;L Bridge &amp; Valuation" sheetId="8" state="visible" r:id="rId10"/>
    <sheet name="Initiative Log" sheetId="9" state="visible" r:id="rId11"/>
    <sheet name="HC Detail" sheetId="10" state="visible" r:id="rId12"/>
    <sheet name="G&amp;A &amp; HC Summary" sheetId="11" state="visible" r:id="rId13"/>
    <sheet name="Non-HC Detail" sheetId="12" state="visible" r:id="rId14"/>
    <sheet name="READM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<sst xmlns="http://schemas.openxmlformats.org/spreadsheetml/2006/main" count="1432" uniqueCount="487">
  <si>
    <t xml:space="preserve">COMPANY A  |  Master Value Creation Dashboard  |  PE Cost Transformation</t>
  </si>
  <si>
    <t xml:space="preserve">As of: [Update Date]     |     All figures USD     |     Blue = Input  ·  Black = Formula  ·  Green = Cross-sheet link</t>
  </si>
  <si>
    <t xml:space="preserve">KEY VALUE CREATION METRICS</t>
  </si>
  <si>
    <t xml:space="preserve">Total Gross
Annual Savings</t>
  </si>
  <si>
    <t xml:space="preserve">HC Savings
(SG&amp;A Impact)</t>
  </si>
  <si>
    <t xml:space="preserve">Non-HC Savings
(COGS + SGA + RD)</t>
  </si>
  <si>
    <t xml:space="preserve">Total One-Time
Costs</t>
  </si>
  <si>
    <t xml:space="preserve">Net Annual
Savings</t>
  </si>
  <si>
    <t xml:space="preserve">Total FTE
Reductions</t>
  </si>
  <si>
    <t xml:space="preserve">Active
Initiatives</t>
  </si>
  <si>
    <t xml:space="preserve">Complete
Initiatives</t>
  </si>
  <si>
    <t xml:space="preserve">SAVINGS BY BUSINESS SEGMENT</t>
  </si>
  <si>
    <t xml:space="preserve">Segment</t>
  </si>
  <si>
    <t xml:space="preserve"># Inits</t>
  </si>
  <si>
    <t xml:space="preserve">HC Savings ($)</t>
  </si>
  <si>
    <t xml:space="preserve">Non-HC Savings ($)</t>
  </si>
  <si>
    <t xml:space="preserve">Total Savings ($)</t>
  </si>
  <si>
    <t xml:space="preserve">One-Time ($)</t>
  </si>
  <si>
    <t xml:space="preserve">Net Savings ($)</t>
  </si>
  <si>
    <t xml:space="preserve">% of Total</t>
  </si>
  <si>
    <t xml:space="preserve">Dx — Diagnostics</t>
  </si>
  <si>
    <t xml:space="preserve">BH — Breast Health</t>
  </si>
  <si>
    <t xml:space="preserve">GY — GYN Surgical</t>
  </si>
  <si>
    <t xml:space="preserve">TOTAL</t>
  </si>
  <si>
    <t xml:space="preserve">100.0%</t>
  </si>
  <si>
    <t xml:space="preserve">SAVINGS BY TOPIC / WORKSTREAM</t>
  </si>
  <si>
    <t xml:space="preserve">SAVINGS BY INITIATIVE OWNER</t>
  </si>
  <si>
    <t xml:space="preserve">Owner</t>
  </si>
  <si>
    <t xml:space="preserve">Yr1 ($)</t>
  </si>
  <si>
    <t xml:space="preserve">Run-Rate ($)</t>
  </si>
  <si>
    <t xml:space="preserve">Status Mix</t>
  </si>
  <si>
    <t xml:space="preserve">Manufacturing</t>
  </si>
  <si>
    <t xml:space="preserve">COGS</t>
  </si>
  <si>
    <t xml:space="preserve">CFO</t>
  </si>
  <si>
    <t xml:space="preserve">3A / 0P / 2C</t>
  </si>
  <si>
    <t xml:space="preserve">G&amp;A / HC</t>
  </si>
  <si>
    <t xml:space="preserve">SGA</t>
  </si>
  <si>
    <t xml:space="preserve">COO</t>
  </si>
  <si>
    <t xml:space="preserve">3A / 3P / 0C</t>
  </si>
  <si>
    <t xml:space="preserve">Procurement</t>
  </si>
  <si>
    <t xml:space="preserve">CPO</t>
  </si>
  <si>
    <t xml:space="preserve">2A / 1P / 0C</t>
  </si>
  <si>
    <t xml:space="preserve">Marketing</t>
  </si>
  <si>
    <t xml:space="preserve">CMO</t>
  </si>
  <si>
    <t xml:space="preserve">3A / 0P / 0C</t>
  </si>
  <si>
    <t xml:space="preserve">Technology</t>
  </si>
  <si>
    <t xml:space="preserve">SGA / RD</t>
  </si>
  <si>
    <t xml:space="preserve">CIO</t>
  </si>
  <si>
    <t xml:space="preserve">1A / 2P / 0C</t>
  </si>
  <si>
    <t xml:space="preserve">Distribution</t>
  </si>
  <si>
    <t xml:space="preserve">CSO</t>
  </si>
  <si>
    <t xml:space="preserve">Public-to-Private</t>
  </si>
  <si>
    <t xml:space="preserve">CHRO</t>
  </si>
  <si>
    <t xml:space="preserve">1A / 0P / 0C</t>
  </si>
  <si>
    <t xml:space="preserve">CLO</t>
  </si>
  <si>
    <t xml:space="preserve">INITIATIVE STATUS TRACKER</t>
  </si>
  <si>
    <t xml:space="preserve">Status</t>
  </si>
  <si>
    <t xml:space="preserve">Count</t>
  </si>
  <si>
    <t xml:space="preserve">Gross Savings ($)</t>
  </si>
  <si>
    <t xml:space="preserve">Net ($)</t>
  </si>
  <si>
    <t xml:space="preserve">% of Total Count</t>
  </si>
  <si>
    <t xml:space="preserve">% of Total $</t>
  </si>
  <si>
    <t xml:space="preserve">Memo</t>
  </si>
  <si>
    <t xml:space="preserve">Active</t>
  </si>
  <si>
    <t xml:space="preserve">Pipeline</t>
  </si>
  <si>
    <t xml:space="preserve">Complete</t>
  </si>
  <si>
    <t xml:space="preserve">Cancelled</t>
  </si>
  <si>
    <t xml:space="preserve">3-YEAR SAVINGS RAMP</t>
  </si>
  <si>
    <t xml:space="preserve">Category</t>
  </si>
  <si>
    <t xml:space="preserve">Year 1 ($)</t>
  </si>
  <si>
    <t xml:space="preserve">Year 2 ($)</t>
  </si>
  <si>
    <t xml:space="preserve">Year 3 Run-Rate ($)</t>
  </si>
  <si>
    <t xml:space="preserve">Cumulative Yr1 ($)</t>
  </si>
  <si>
    <t xml:space="preserve">Cumulative Yr2 ($)</t>
  </si>
  <si>
    <t xml:space="preserve">Cumulative Yr3 ($)</t>
  </si>
  <si>
    <t xml:space="preserve">Notes</t>
  </si>
  <si>
    <t xml:space="preserve">HC (G&amp;A / SGA)</t>
  </si>
  <si>
    <t xml:space="preserve">Full SGA flow-through</t>
  </si>
  <si>
    <t xml:space="preserve">Non-HC COGS</t>
  </si>
  <si>
    <t xml:space="preserve">Gross margin improvement</t>
  </si>
  <si>
    <t xml:space="preserve">Non-HC SGA</t>
  </si>
  <si>
    <t xml:space="preserve">Opex reduction</t>
  </si>
  <si>
    <t xml:space="preserve">Non-HC R&amp;D</t>
  </si>
  <si>
    <t xml:space="preserve">R&amp;D portfolio rationalization</t>
  </si>
  <si>
    <t xml:space="preserve">COMPANY A  |  Manufacturing — Value Creation Summary</t>
  </si>
  <si>
    <t xml:space="preserve">MANUFACTURING — KEY METRICS</t>
  </si>
  <si>
    <t xml:space="preserve"># Initiatives</t>
  </si>
  <si>
    <t xml:space="preserve">Gross Annual Savings</t>
  </si>
  <si>
    <t xml:space="preserve">One-Time Costs</t>
  </si>
  <si>
    <t xml:space="preserve">Net Annual Savings</t>
  </si>
  <si>
    <t xml:space="preserve">Yr1 Realized</t>
  </si>
  <si>
    <t xml:space="preserve">Run-Rate (Yr3)</t>
  </si>
  <si>
    <t xml:space="preserve">Upside Scenario</t>
  </si>
  <si>
    <t xml:space="preserve">Baseline Scenario</t>
  </si>
  <si>
    <t xml:space="preserve">2</t>
  </si>
  <si>
    <t xml:space="preserve">INITIATIVE DETAIL — MANUFACTURING</t>
  </si>
  <si>
    <t xml:space="preserve">Initiative ID</t>
  </si>
  <si>
    <t xml:space="preserve">Name</t>
  </si>
  <si>
    <t xml:space="preserve">P&amp;L Line</t>
  </si>
  <si>
    <t xml:space="preserve">Gross Annual
Savings ($)</t>
  </si>
  <si>
    <t xml:space="preserve">One-Time
Cost ($)</t>
  </si>
  <si>
    <t xml:space="preserve">Net Annual
Savings ($)</t>
  </si>
  <si>
    <t xml:space="preserve">Yr1 Realized ($)</t>
  </si>
  <si>
    <t xml:space="preserve">Upside
Scenario ($)</t>
  </si>
  <si>
    <t xml:space="preserve">Baseline
Scenario ($)</t>
  </si>
  <si>
    <t xml:space="preserve">I-011</t>
  </si>
  <si>
    <t xml:space="preserve">San Diego Manufacturing Plant Closure</t>
  </si>
  <si>
    <t xml:space="preserve">Dx</t>
  </si>
  <si>
    <t xml:space="preserve">I-012</t>
  </si>
  <si>
    <t xml:space="preserve">Marlborough Facility Consolidation</t>
  </si>
  <si>
    <t xml:space="preserve">BH</t>
  </si>
  <si>
    <t xml:space="preserve">TOTALS</t>
  </si>
  <si>
    <t xml:space="preserve">SCENARIO ANALYSIS — MANUFACTURING</t>
  </si>
  <si>
    <t xml:space="preserve">Scenario</t>
  </si>
  <si>
    <t xml:space="preserve">Description</t>
  </si>
  <si>
    <t xml:space="preserve">vs. Plan ($)</t>
  </si>
  <si>
    <t xml:space="preserve">vs. Plan (%)</t>
  </si>
  <si>
    <t xml:space="preserve">Key Assumptions</t>
  </si>
  <si>
    <t xml:space="preserve">Upside</t>
  </si>
  <si>
    <t xml:space="preserve">Full capture; all initiatives Active, above plan</t>
  </si>
  <si>
    <t xml:space="preserve">All initiatives active; procurement beats target; execution ahead of schedule</t>
  </si>
  <si>
    <t xml:space="preserve">Base Plan</t>
  </si>
  <si>
    <t xml:space="preserve">Current plan; mix of Active and Pipeline</t>
  </si>
  <si>
    <t xml:space="preserve">Current initiative slate; on-schedule execution</t>
  </si>
  <si>
    <t xml:space="preserve">Downside</t>
  </si>
  <si>
    <t xml:space="preserve">Partial capture; delays and scope reductions</t>
  </si>
  <si>
    <t xml:space="preserve">3-4 initiatives delayed; procurement savings reduced 25%; facility timeline slip</t>
  </si>
  <si>
    <t xml:space="preserve">COMPANY A  |  Procurement — Value Creation Summary</t>
  </si>
  <si>
    <t xml:space="preserve">PROCUREMENT — KEY METRICS</t>
  </si>
  <si>
    <t xml:space="preserve">3</t>
  </si>
  <si>
    <t xml:space="preserve">INITIATIVE DETAIL — PROCUREMENT</t>
  </si>
  <si>
    <t xml:space="preserve">I-013</t>
  </si>
  <si>
    <t xml:space="preserve">Reagent Supplier Renegotiation</t>
  </si>
  <si>
    <t xml:space="preserve">I-014</t>
  </si>
  <si>
    <t xml:space="preserve">Capital Equipment Vendor Consolidation</t>
  </si>
  <si>
    <t xml:space="preserve">I-015</t>
  </si>
  <si>
    <t xml:space="preserve">Surgical Consumables GPO Enrollment</t>
  </si>
  <si>
    <t xml:space="preserve">GY</t>
  </si>
  <si>
    <t xml:space="preserve">SCENARIO ANALYSIS — PROCUREMENT</t>
  </si>
  <si>
    <t xml:space="preserve">COMPANY A  |  Marketing — Value Creation Summary</t>
  </si>
  <si>
    <t xml:space="preserve">MARKETING — KEY METRICS</t>
  </si>
  <si>
    <t xml:space="preserve">INITIATIVE DETAIL — MARKETING</t>
  </si>
  <si>
    <t xml:space="preserve">I-018</t>
  </si>
  <si>
    <t xml:space="preserve">Marketing Agency Rationalization</t>
  </si>
  <si>
    <t xml:space="preserve">I-019</t>
  </si>
  <si>
    <t xml:space="preserve">Digital Marketing Platform Consolidation</t>
  </si>
  <si>
    <t xml:space="preserve">SCENARIO ANALYSIS — MARKETING</t>
  </si>
  <si>
    <t xml:space="preserve">COMPANY A  |  Technology — Value Creation Summary</t>
  </si>
  <si>
    <t xml:space="preserve">TECHNOLOGY — KEY METRICS</t>
  </si>
  <si>
    <t xml:space="preserve">INITIATIVE DETAIL — TECHNOLOGY</t>
  </si>
  <si>
    <t xml:space="preserve">I-020</t>
  </si>
  <si>
    <t xml:space="preserve">ERP System Consolidation</t>
  </si>
  <si>
    <t xml:space="preserve">I-021</t>
  </si>
  <si>
    <t xml:space="preserve">Software License Rationalization</t>
  </si>
  <si>
    <t xml:space="preserve">I-022</t>
  </si>
  <si>
    <t xml:space="preserve">R&amp;D Portfolio Prioritization</t>
  </si>
  <si>
    <t xml:space="preserve">RD</t>
  </si>
  <si>
    <t xml:space="preserve">SCENARIO ANALYSIS — TECHNOLOGY</t>
  </si>
  <si>
    <t xml:space="preserve">COMPANY A  |  Distribution — Value Creation Summary</t>
  </si>
  <si>
    <t xml:space="preserve">DISTRIBUTION — KEY METRICS</t>
  </si>
  <si>
    <t xml:space="preserve">INITIATIVE DETAIL — DISTRIBUTION</t>
  </si>
  <si>
    <t xml:space="preserve">I-016</t>
  </si>
  <si>
    <t xml:space="preserve">3PL Contract Renegotiation</t>
  </si>
  <si>
    <t xml:space="preserve">I-017</t>
  </si>
  <si>
    <t xml:space="preserve">Logistics Network Optimization</t>
  </si>
  <si>
    <t xml:space="preserve">SCENARIO ANALYSIS — DISTRIBUTION</t>
  </si>
  <si>
    <t xml:space="preserve">COMPANY A  |  Public-to-Private — Value Creation Summary</t>
  </si>
  <si>
    <t xml:space="preserve">PUBLIC-TO-PRIVATE — KEY METRICS</t>
  </si>
  <si>
    <t xml:space="preserve">INITIATIVE DETAIL — PUBLIC-TO-PRIVATE</t>
  </si>
  <si>
    <t xml:space="preserve">I-023</t>
  </si>
  <si>
    <t xml:space="preserve">Office Lease Termination - Remote Work</t>
  </si>
  <si>
    <t xml:space="preserve">I-024</t>
  </si>
  <si>
    <t xml:space="preserve">Management Consulting &amp; Public Co. Cost Reduction</t>
  </si>
  <si>
    <t xml:space="preserve">SCENARIO ANALYSIS — PUBLIC-TO-PRIVATE</t>
  </si>
  <si>
    <t xml:space="preserve">COMPANY A  |  P&amp;L Impact Bridge &amp; Valuation  |  PE Cost Transformation</t>
  </si>
  <si>
    <t xml:space="preserve">STEP 1 — SAVINGS ROUTED TO P&amp;L LINE</t>
  </si>
  <si>
    <t xml:space="preserve">Description / Initiatives</t>
  </si>
  <si>
    <t xml:space="preserve">Yr2 Realized ($)</t>
  </si>
  <si>
    <t xml:space="preserve">Yr3 (Run-Rate) ($)</t>
  </si>
  <si>
    <t xml:space="preserve">% of Total
Savings</t>
  </si>
  <si>
    <t xml:space="preserve">Memo: Topics Included</t>
  </si>
  <si>
    <t xml:space="preserve">Cost of Goods Sold — manufacturing, procurement, distribution savings</t>
  </si>
  <si>
    <t xml:space="preserve">Manufacturing, Procurement, Distribution</t>
  </si>
  <si>
    <t xml:space="preserve">SG&amp;A — headcount reductions, marketing, technology, real estate, public co. costs</t>
  </si>
  <si>
    <t xml:space="preserve">G&amp;A / HC, Marketing, Technology, Public-to-Private</t>
  </si>
  <si>
    <t xml:space="preserve">R&amp;D — portfolio rationalization, deprioritized programs</t>
  </si>
  <si>
    <t xml:space="preserve">Technology (R&amp;D sub-topic)</t>
  </si>
  <si>
    <t xml:space="preserve">STEP 2 — ILLUSTRATIVE P&amp;L BRIDGE  (Finance Adjusts Actuals — Enter Pre-Transformation Baseline Below)</t>
  </si>
  <si>
    <t xml:space="preserve">Line Item</t>
  </si>
  <si>
    <t xml:space="preserve">P&amp;L Category</t>
  </si>
  <si>
    <t xml:space="preserve">Pre-Transformation
Baseline ($)</t>
  </si>
  <si>
    <t xml:space="preserve">Cost Savings
Impact ($)</t>
  </si>
  <si>
    <t xml:space="preserve">Post-Transformation
Forecast ($)</t>
  </si>
  <si>
    <t xml:space="preserve">YoY Change ($)</t>
  </si>
  <si>
    <t xml:space="preserve">YoY Change (%)</t>
  </si>
  <si>
    <t xml:space="preserve">Revenue</t>
  </si>
  <si>
    <t xml:space="preserve">Revenue assumed flat; upside from freed capacity</t>
  </si>
  <si>
    <t xml:space="preserve">Cost of Goods Sold</t>
  </si>
  <si>
    <t xml:space="preserve">COGS reduction: manufacturing, procurement, distribution</t>
  </si>
  <si>
    <t xml:space="preserve">Gross Profit</t>
  </si>
  <si>
    <t xml:space="preserve">Gross Margin %</t>
  </si>
  <si>
    <t xml:space="preserve">SG&amp;A</t>
  </si>
  <si>
    <t xml:space="preserve">SGA reduction: HC, marketing, tech, real estate</t>
  </si>
  <si>
    <t xml:space="preserve">R&amp;D</t>
  </si>
  <si>
    <t xml:space="preserve">R&amp;D reduction: portfolio rationalization</t>
  </si>
  <si>
    <t xml:space="preserve">EBITDA</t>
  </si>
  <si>
    <t xml:space="preserve">EBITDA Margin %</t>
  </si>
  <si>
    <t xml:space="preserve">STEP 3 — VALUATION &amp; VALUE CREATION  (PE Sponsor View)</t>
  </si>
  <si>
    <t xml:space="preserve">VALUATION ASSUMPTIONS (Blue = Input)</t>
  </si>
  <si>
    <t xml:space="preserve">Entry EBITDA ($mm)</t>
  </si>
  <si>
    <t xml:space="preserve">Entry EBITDA — pre-transformation</t>
  </si>
  <si>
    <t xml:space="preserve">$mm</t>
  </si>
  <si>
    <t xml:space="preserve">Entry Multiple (x)</t>
  </si>
  <si>
    <t xml:space="preserve">EV/EBITDA at acquisition</t>
  </si>
  <si>
    <t xml:space="preserve">x</t>
  </si>
  <si>
    <t xml:space="preserve">Run-Rate EBITDA Uplift ($mm)</t>
  </si>
  <si>
    <t xml:space="preserve">Total cost savings flowing to EBITDA (run-rate Yr3)</t>
  </si>
  <si>
    <t xml:space="preserve">$mm — formula</t>
  </si>
  <si>
    <t xml:space="preserve">Revised EBITDA ($mm)</t>
  </si>
  <si>
    <t xml:space="preserve">Entry EBITDA + Cost Savings</t>
  </si>
  <si>
    <t xml:space="preserve">Exit Multiple — Base (x)</t>
  </si>
  <si>
    <t xml:space="preserve">Expected exit EV/EBITDA multiple — Base case</t>
  </si>
  <si>
    <t xml:space="preserve">Exit Multiple — Upside (x)</t>
  </si>
  <si>
    <t xml:space="preserve">Expected exit EV/EBITDA multiple — Upside</t>
  </si>
  <si>
    <t xml:space="preserve">Exit Multiple — Downside (x)</t>
  </si>
  <si>
    <t xml:space="preserve">Expected exit EV/EBITDA multiple — Downside</t>
  </si>
  <si>
    <t xml:space="preserve">Net Debt ($mm)</t>
  </si>
  <si>
    <t xml:space="preserve">Net debt at acquisition</t>
  </si>
  <si>
    <t xml:space="preserve">Holding Period (Yrs)</t>
  </si>
  <si>
    <t xml:space="preserve">Expected hold period</t>
  </si>
  <si>
    <t xml:space="preserve">years</t>
  </si>
  <si>
    <t xml:space="preserve">VALUATION SCENARIOS — ENTERPRISE VALUE &amp; EQUITY VALUE BRIDGE</t>
  </si>
  <si>
    <t xml:space="preserve">Entry EV
($mm)</t>
  </si>
  <si>
    <t xml:space="preserve">Entry Equity
($mm)</t>
  </si>
  <si>
    <t xml:space="preserve">Exit EBITDA
($mm)</t>
  </si>
  <si>
    <t xml:space="preserve">Exit Multiple
(x)</t>
  </si>
  <si>
    <t xml:space="preserve">Exit EV
($mm)</t>
  </si>
  <si>
    <t xml:space="preserve">Exit Equity
($mm)</t>
  </si>
  <si>
    <t xml:space="preserve">MOIC
(x)</t>
  </si>
  <si>
    <t xml:space="preserve">Equity Value
Created ($mm)</t>
  </si>
  <si>
    <t xml:space="preserve">Key Driver</t>
  </si>
  <si>
    <t xml:space="preserve">Full savings capture + multiple expansion</t>
  </si>
  <si>
    <t xml:space="preserve">Plan savings; entry multiple held</t>
  </si>
  <si>
    <t xml:space="preserve">75% savings capture; multiple compression</t>
  </si>
  <si>
    <t xml:space="preserve">VALUE ATTRIBUTION — WHAT IS DRIVING EQUITY VALUE CREATION?</t>
  </si>
  <si>
    <t xml:space="preserve">Value Driver</t>
  </si>
  <si>
    <t xml:space="preserve">$ Value Created ($mm)</t>
  </si>
  <si>
    <t xml:space="preserve">% of Total Value Creation</t>
  </si>
  <si>
    <t xml:space="preserve">Commentary</t>
  </si>
  <si>
    <t xml:space="preserve">Cost Savings → EBITDA Uplift</t>
  </si>
  <si>
    <t xml:space="preserve">Gross savings capitalized at exit multiple</t>
  </si>
  <si>
    <t xml:space="preserve">Multiple Expansion (Base → Upside)</t>
  </si>
  <si>
    <t xml:space="preserve">Multiple expansion from 12.5x to 14.5x on entry EBITDA</t>
  </si>
  <si>
    <t xml:space="preserve">NWC Improvement (est.)</t>
  </si>
  <si>
    <t xml:space="preserve">Working capital release from procurement &amp; inventory optimization</t>
  </si>
  <si>
    <t xml:space="preserve">Capex Optimization (est.)</t>
  </si>
  <si>
    <t xml:space="preserve">Reduced capex from facility consolidation</t>
  </si>
  <si>
    <t xml:space="preserve">Total Value Created (Upside)</t>
  </si>
  <si>
    <t xml:space="preserve">Sum of all levers</t>
  </si>
  <si>
    <t xml:space="preserve">COMPANY A  |  Raw Initiative Log  |  Master Data Source — Do Not Edit Formulas</t>
  </si>
  <si>
    <t xml:space="preserve">Business Unit</t>
  </si>
  <si>
    <t xml:space="preserve">Segment
(Dx/BH/GY)</t>
  </si>
  <si>
    <t xml:space="preserve">Category
(HC/Non-HC)</t>
  </si>
  <si>
    <t xml:space="preserve">Topic</t>
  </si>
  <si>
    <t xml:space="preserve">Sub-Category</t>
  </si>
  <si>
    <t xml:space="preserve">Initiative Name</t>
  </si>
  <si>
    <t xml:space="preserve">Department</t>
  </si>
  <si>
    <t xml:space="preserve">GL Code</t>
  </si>
  <si>
    <t xml:space="preserve">Start Date</t>
  </si>
  <si>
    <t xml:space="preserve">End Date</t>
  </si>
  <si>
    <t xml:space="preserve">Baseline Cost ($)</t>
  </si>
  <si>
    <t xml:space="preserve">Upside Target ($)</t>
  </si>
  <si>
    <t xml:space="preserve">Yr1 %
Realization</t>
  </si>
  <si>
    <t xml:space="preserve">Yr2 %
Realization</t>
  </si>
  <si>
    <t xml:space="preserve">Yr3 %
Realization</t>
  </si>
  <si>
    <t xml:space="preserve">P&amp;L Line
(COGS/SGA/RD)</t>
  </si>
  <si>
    <t xml:space="preserve">I-001</t>
  </si>
  <si>
    <t xml:space="preserve">Corporate</t>
  </si>
  <si>
    <t xml:space="preserve">HC</t>
  </si>
  <si>
    <t xml:space="preserve">Executive</t>
  </si>
  <si>
    <t xml:space="preserve">VP Molecular Dx Elimination</t>
  </si>
  <si>
    <t xml:space="preserve">6100</t>
  </si>
  <si>
    <t xml:space="preserve">Elimination of VP Molecular Dx role post-acquisition</t>
  </si>
  <si>
    <t xml:space="preserve">2025-01-01</t>
  </si>
  <si>
    <t xml:space="preserve">2025-03-31</t>
  </si>
  <si>
    <t xml:space="preserve">I-002</t>
  </si>
  <si>
    <t xml:space="preserve">Director</t>
  </si>
  <si>
    <t xml:space="preserve">Director Clinical Affairs Reduction</t>
  </si>
  <si>
    <t xml:space="preserve">Clinical Affairs</t>
  </si>
  <si>
    <t xml:space="preserve">Consolidate two Director roles to one</t>
  </si>
  <si>
    <t xml:space="preserve">2025-06-30</t>
  </si>
  <si>
    <t xml:space="preserve">I-003</t>
  </si>
  <si>
    <t xml:space="preserve">Manager</t>
  </si>
  <si>
    <t xml:space="preserve">Regional Sales Manager Reduction (3 FTEs)</t>
  </si>
  <si>
    <t xml:space="preserve">Sales</t>
  </si>
  <si>
    <t xml:space="preserve">6110</t>
  </si>
  <si>
    <t xml:space="preserve">Reduce RSM headcount by 3, territory consolidation</t>
  </si>
  <si>
    <t xml:space="preserve">2025-02-01</t>
  </si>
  <si>
    <t xml:space="preserve">I-004</t>
  </si>
  <si>
    <t xml:space="preserve">IC</t>
  </si>
  <si>
    <t xml:space="preserve">Field Service Engineer Optimization (2 FTEs)</t>
  </si>
  <si>
    <t xml:space="preserve">Field Service</t>
  </si>
  <si>
    <t xml:space="preserve">Reduce FSE headcount via territory consolidation</t>
  </si>
  <si>
    <t xml:space="preserve">2025-04-01</t>
  </si>
  <si>
    <t xml:space="preserve">2025-09-30</t>
  </si>
  <si>
    <t xml:space="preserve">I-005</t>
  </si>
  <si>
    <t xml:space="preserve">GYN Surgical Marketing Manager</t>
  </si>
  <si>
    <t xml:space="preserve">6120</t>
  </si>
  <si>
    <t xml:space="preserve">Eliminate GYN Surgical Marketing Manager role</t>
  </si>
  <si>
    <t xml:space="preserve">I-006</t>
  </si>
  <si>
    <t xml:space="preserve">Inside Sales Rep Reduction (4 FTEs)</t>
  </si>
  <si>
    <t xml:space="preserve">Reduce inside sales team by 4 FTEs</t>
  </si>
  <si>
    <t xml:space="preserve">2025-05-01</t>
  </si>
  <si>
    <t xml:space="preserve">2025-10-31</t>
  </si>
  <si>
    <t xml:space="preserve">I-007</t>
  </si>
  <si>
    <t xml:space="preserve">Shared Services</t>
  </si>
  <si>
    <t xml:space="preserve">Regulatory Affairs Specialist Reduction (2 FTEs)</t>
  </si>
  <si>
    <t xml:space="preserve">Regulatory</t>
  </si>
  <si>
    <t xml:space="preserve">6130</t>
  </si>
  <si>
    <t xml:space="preserve">Consolidate RA function post-acquisition overlap</t>
  </si>
  <si>
    <t xml:space="preserve">2025-07-31</t>
  </si>
  <si>
    <t xml:space="preserve">I-008</t>
  </si>
  <si>
    <t xml:space="preserve">Director Quality Systems Consolidation</t>
  </si>
  <si>
    <t xml:space="preserve">Quality</t>
  </si>
  <si>
    <t xml:space="preserve">Merge BH and Dx Quality Director role</t>
  </si>
  <si>
    <t xml:space="preserve">2025-04-30</t>
  </si>
  <si>
    <t xml:space="preserve">I-009</t>
  </si>
  <si>
    <t xml:space="preserve">Finance Analyst Reduction (2 FTEs)</t>
  </si>
  <si>
    <t xml:space="preserve">Finance</t>
  </si>
  <si>
    <t xml:space="preserve">6140</t>
  </si>
  <si>
    <t xml:space="preserve">Reduce Finance analyst pool by 2 FTEs</t>
  </si>
  <si>
    <t xml:space="preserve">2025-02-28</t>
  </si>
  <si>
    <t xml:space="preserve">I-010</t>
  </si>
  <si>
    <t xml:space="preserve">IT Infrastructure Staff Reduction (2 FTEs)</t>
  </si>
  <si>
    <t xml:space="preserve">IT</t>
  </si>
  <si>
    <t xml:space="preserve">Reduce IT headcount following system consolidation</t>
  </si>
  <si>
    <t xml:space="preserve">2025-06-01</t>
  </si>
  <si>
    <t xml:space="preserve">2025-12-31</t>
  </si>
  <si>
    <t xml:space="preserve">Non-HC</t>
  </si>
  <si>
    <t xml:space="preserve">Facility</t>
  </si>
  <si>
    <t xml:space="preserve">7100</t>
  </si>
  <si>
    <t xml:space="preserve">Full closure of SD manufacturing facility, transfer to MA</t>
  </si>
  <si>
    <t xml:space="preserve">2025-03-01</t>
  </si>
  <si>
    <t xml:space="preserve">2026-06-30</t>
  </si>
  <si>
    <t xml:space="preserve">Consolidate two Marlborough sites into one</t>
  </si>
  <si>
    <t xml:space="preserve">2025-07-01</t>
  </si>
  <si>
    <t xml:space="preserve">2026-12-31</t>
  </si>
  <si>
    <t xml:space="preserve">Vendor Renegotiation</t>
  </si>
  <si>
    <t xml:space="preserve">7200</t>
  </si>
  <si>
    <t xml:space="preserve">Renegotiate key reagent contracts, 15% cost reduction</t>
  </si>
  <si>
    <t xml:space="preserve">Vendor Consolidation</t>
  </si>
  <si>
    <t xml:space="preserve">Reduce approved vendor list, leverage volume pricing</t>
  </si>
  <si>
    <t xml:space="preserve">GPO Enrollment</t>
  </si>
  <si>
    <t xml:space="preserve">7210</t>
  </si>
  <si>
    <t xml:space="preserve">Enroll in GPO for surgical consumables, 12% savings</t>
  </si>
  <si>
    <t xml:space="preserve">3PL Renegotiation</t>
  </si>
  <si>
    <t xml:space="preserve">Supply Chain</t>
  </si>
  <si>
    <t xml:space="preserve">7300</t>
  </si>
  <si>
    <t xml:space="preserve">Renegotiate primary 3PL distribution contracts</t>
  </si>
  <si>
    <t xml:space="preserve">Network Optimization</t>
  </si>
  <si>
    <t xml:space="preserve">Optimize hub-and-spoke distribution network</t>
  </si>
  <si>
    <t xml:space="preserve">2026-03-31</t>
  </si>
  <si>
    <t xml:space="preserve">Agency Rationalization</t>
  </si>
  <si>
    <t xml:space="preserve">7400</t>
  </si>
  <si>
    <t xml:space="preserve">Reduce external agency spend, insource key functions</t>
  </si>
  <si>
    <t xml:space="preserve">Martech Consolidation</t>
  </si>
  <si>
    <t xml:space="preserve">Consolidate martech stack from 12 to 5 platforms</t>
  </si>
  <si>
    <t xml:space="preserve">ERP Consolidation</t>
  </si>
  <si>
    <t xml:space="preserve">7500</t>
  </si>
  <si>
    <t xml:space="preserve">Consolidate legacy ERP systems post-acquisition</t>
  </si>
  <si>
    <t xml:space="preserve">License Rationalization</t>
  </si>
  <si>
    <t xml:space="preserve">Audit and eliminate redundant software licenses</t>
  </si>
  <si>
    <t xml:space="preserve">R&amp;D Portfolio</t>
  </si>
  <si>
    <t xml:space="preserve">7600</t>
  </si>
  <si>
    <t xml:space="preserve">Deprioritize 3 low-ROI R&amp;D programs</t>
  </si>
  <si>
    <t xml:space="preserve">Lease Termination</t>
  </si>
  <si>
    <t xml:space="preserve">Real Estate</t>
  </si>
  <si>
    <t xml:space="preserve">7700</t>
  </si>
  <si>
    <t xml:space="preserve">Terminate 4 regional office leases post go-private</t>
  </si>
  <si>
    <t xml:space="preserve">Consulting Reduction</t>
  </si>
  <si>
    <t xml:space="preserve">7800</t>
  </si>
  <si>
    <t xml:space="preserve">Eliminate public company overhead (audit, IR, D&amp;O, consulting)</t>
  </si>
  <si>
    <t xml:space="preserve">I-025</t>
  </si>
  <si>
    <t xml:space="preserve">T&amp;E Policy</t>
  </si>
  <si>
    <t xml:space="preserve">Travel &amp; Expense Policy Tightening</t>
  </si>
  <si>
    <t xml:space="preserve">7900</t>
  </si>
  <si>
    <t xml:space="preserve">Implement new T&amp;E policy with hard limits, 30% reduction</t>
  </si>
  <si>
    <t xml:space="preserve">COMPANY A  |  Headcount Reduction Detail  |  Sourced from Initiative Log</t>
  </si>
  <si>
    <t xml:space="preserve">Employee / Position</t>
  </si>
  <si>
    <t xml:space="preserve">Job Title</t>
  </si>
  <si>
    <t xml:space="preserve">Level
(Exec/Dir/Mgr/IC)</t>
  </si>
  <si>
    <t xml:space="preserve">FTE
Count</t>
  </si>
  <si>
    <t xml:space="preserve">Base
Salary ($)</t>
  </si>
  <si>
    <t xml:space="preserve">Bonus
($)</t>
  </si>
  <si>
    <t xml:space="preserve">Total
Cash ($)</t>
  </si>
  <si>
    <t xml:space="preserve">Benefits &amp;
Payroll Tax ($)</t>
  </si>
  <si>
    <t xml:space="preserve">Total Annual
Comp ($)</t>
  </si>
  <si>
    <t xml:space="preserve">Severance
(Wks)</t>
  </si>
  <si>
    <t xml:space="preserve">Severance
Amount ($)</t>
  </si>
  <si>
    <t xml:space="preserve">Outplacement
($)</t>
  </si>
  <si>
    <t xml:space="preserve">Total One-Time
Cost ($)</t>
  </si>
  <si>
    <t xml:space="preserve">Gross Annual
Saving ($)</t>
  </si>
  <si>
    <t xml:space="preserve">Yr1 Realized
Saving ($)</t>
  </si>
  <si>
    <t xml:space="preserve">Run-Rate Annual
Saving ($)</t>
  </si>
  <si>
    <t xml:space="preserve">[Position Eliminated]</t>
  </si>
  <si>
    <t xml:space="preserve">VP Molecular Diagnostics</t>
  </si>
  <si>
    <t xml:space="preserve">Exec</t>
  </si>
  <si>
    <t xml:space="preserve">Director Clinical Affairs</t>
  </si>
  <si>
    <t xml:space="preserve">Dir</t>
  </si>
  <si>
    <t xml:space="preserve">[Position Consolidated]</t>
  </si>
  <si>
    <t xml:space="preserve">Director Clinical Operations</t>
  </si>
  <si>
    <t xml:space="preserve">Regional Sales Manager - East</t>
  </si>
  <si>
    <t xml:space="preserve">Mgr</t>
  </si>
  <si>
    <t xml:space="preserve">Regional Sales Manager - Central</t>
  </si>
  <si>
    <t xml:space="preserve">Regional Sales Manager - West</t>
  </si>
  <si>
    <t xml:space="preserve">Field Service Engineer Sr.</t>
  </si>
  <si>
    <t xml:space="preserve">Field Service Engineer</t>
  </si>
  <si>
    <t xml:space="preserve">Marketing Manager - GYN Surgical</t>
  </si>
  <si>
    <t xml:space="preserve">Inside Sales Rep</t>
  </si>
  <si>
    <t xml:space="preserve">Regulatory Affairs Specialist</t>
  </si>
  <si>
    <t xml:space="preserve">Regulatory Affairs Specialist Sr.</t>
  </si>
  <si>
    <t xml:space="preserve">Director Quality Systems - BH</t>
  </si>
  <si>
    <t xml:space="preserve">Finance Analyst II</t>
  </si>
  <si>
    <t xml:space="preserve">Finance Analyst I</t>
  </si>
  <si>
    <t xml:space="preserve">IT Infrastructure Analyst Sr.</t>
  </si>
  <si>
    <t xml:space="preserve">IT Infrastructure Analyst</t>
  </si>
  <si>
    <t xml:space="preserve">COMPANY A  |  G&amp;A / HC — Value Creation Summary</t>
  </si>
  <si>
    <t xml:space="preserve">G&amp;A / HC — KEY METRICS</t>
  </si>
  <si>
    <t xml:space="preserve">11</t>
  </si>
  <si>
    <t xml:space="preserve">INITIATIVE DETAIL — G&amp;A / HC</t>
  </si>
  <si>
    <t xml:space="preserve">SCENARIO ANALYSIS — G&amp;A / HC</t>
  </si>
  <si>
    <t xml:space="preserve">COMPANY A  |  Non-HC Cost Savings Detail  |  Sourced from Initiative Log</t>
  </si>
  <si>
    <t xml:space="preserve">Baseline
Cost ($)</t>
  </si>
  <si>
    <t xml:space="preserve">Savings %
vs Baseline</t>
  </si>
  <si>
    <t xml:space="preserve">One-Time
Impl. Cost ($)</t>
  </si>
  <si>
    <t xml:space="preserve">Payback
Period (Yrs)</t>
  </si>
  <si>
    <t xml:space="preserve">Yr1 Realized
Savings ($)</t>
  </si>
  <si>
    <t xml:space="preserve">Run-Rate Annual
Savings ($)</t>
  </si>
  <si>
    <t xml:space="preserve">vs. Upside
($ Gap)</t>
  </si>
  <si>
    <t xml:space="preserve">vs. Upside
(% Gap)</t>
  </si>
  <si>
    <t xml:space="preserve">vs. Baseline
($ Gap)</t>
  </si>
  <si>
    <t xml:space="preserve">COMPANY A — Value Tracking Model v2 — Instructions</t>
  </si>
  <si>
    <t xml:space="preserve">COLOR CODING</t>
  </si>
  <si>
    <t xml:space="preserve">Blue text</t>
  </si>
  <si>
    <t xml:space="preserve">Hardcoded inputs — these are the cells you update with actuals</t>
  </si>
  <si>
    <t xml:space="preserve">Black text</t>
  </si>
  <si>
    <t xml:space="preserve">Formula outputs — do not override</t>
  </si>
  <si>
    <t xml:space="preserve">Green text</t>
  </si>
  <si>
    <t xml:space="preserve">Cross-sheet links — pulling from Initiative Log or another tab</t>
  </si>
  <si>
    <t xml:space="preserve">TAB STRUCTURE</t>
  </si>
  <si>
    <t xml:space="preserve">Summary Dashboard</t>
  </si>
  <si>
    <t xml:space="preserve">Master KPI view — all segments, owners, status, ramp, and scenario snapshot</t>
  </si>
  <si>
    <t xml:space="preserve">Manufacturing Summary</t>
  </si>
  <si>
    <t xml:space="preserve">Deep-dive on facility + manufacturing optimization initiatives</t>
  </si>
  <si>
    <t xml:space="preserve">G&amp;A / HC Summary</t>
  </si>
  <si>
    <t xml:space="preserve">Headcount reduction initiatives — all levels and departments</t>
  </si>
  <si>
    <t xml:space="preserve">Procurement Summary</t>
  </si>
  <si>
    <t xml:space="preserve">Vendor renegotiation, GPO, and sourcing initiatives</t>
  </si>
  <si>
    <t xml:space="preserve">Marketing Summary</t>
  </si>
  <si>
    <t xml:space="preserve">Agency, martech, and digital marketing savings</t>
  </si>
  <si>
    <t xml:space="preserve">Technology Summary</t>
  </si>
  <si>
    <t xml:space="preserve">ERP, software licenses, and R&amp;D rationalization</t>
  </si>
  <si>
    <t xml:space="preserve">Distribution Summary</t>
  </si>
  <si>
    <t xml:space="preserve">3PL and logistics network optimization</t>
  </si>
  <si>
    <t xml:space="preserve">Public-to-Private Summary</t>
  </si>
  <si>
    <t xml:space="preserve">Lease terminations, consulting cuts, and public company cost elimination</t>
  </si>
  <si>
    <t xml:space="preserve">P&amp;L Bridge &amp; Valuation</t>
  </si>
  <si>
    <t xml:space="preserve">COGS/SGA/RD impact, P&amp;L bridge, EBITDA scenarios, MOIC, value attribution</t>
  </si>
  <si>
    <t xml:space="preserve">Initiative Log</t>
  </si>
  <si>
    <t xml:space="preserve">RAW DATA — master intake. Add new initiatives here. Everything else pulls from here.</t>
  </si>
  <si>
    <t xml:space="preserve">HC Detail</t>
  </si>
  <si>
    <t xml:space="preserve">Employee-level HC reductions — formulas pull status from Initiative Log</t>
  </si>
  <si>
    <t xml:space="preserve">Non-HC Detail</t>
  </si>
  <si>
    <t xml:space="preserve">Non-HC initiative detail — upside vs. baseline scenarios by row</t>
  </si>
  <si>
    <t xml:space="preserve">README</t>
  </si>
  <si>
    <t xml:space="preserve">This tab</t>
  </si>
  <si>
    <t xml:space="preserve">HOW TO ADD AN INITIATIVE</t>
  </si>
  <si>
    <t xml:space="preserve">Step 1</t>
  </si>
  <si>
    <t xml:space="preserve">Go to Initiative Log. Add a row above the TOTALS row.</t>
  </si>
  <si>
    <t xml:space="preserve">Step 2</t>
  </si>
  <si>
    <t xml:space="preserve">Fill in all columns. Use the next ID (I-026, I-027...).</t>
  </si>
  <si>
    <t xml:space="preserve">Step 3</t>
  </si>
  <si>
    <t xml:space="preserve">If HC: add row(s) to HC Detail tab. If Non-HC: add to Non-HC Detail.</t>
  </si>
  <si>
    <t xml:space="preserve">Step 4</t>
  </si>
  <si>
    <t xml:space="preserve">All category summaries and the master dashboard update automatically.</t>
  </si>
  <si>
    <t xml:space="preserve">CONNECTING TO STREAMLIT</t>
  </si>
  <si>
    <t xml:space="preserve">Save this file to Google Drive or SharePoint. Claude writes Python that reads it. Deploy to Streamlit Cloud.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</si>
</sst>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_);&quot;($&quot;#,##0\);\-"/>
    <numFmt numFmtId="166" formatCode="#,##0_);\(#,##0\);\-"/>
    <numFmt numFmtId="167" formatCode="0.0%;\(0.0%\);\-"/>
    <numFmt numFmtId="168" formatCode="#,##0.0"/>
    <numFmt numFmtId="169" formatCode="\$#,##0.0"/>
    <numFmt numFmtId="170" formatCode="0.0\x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sz val="10"/>
      <color rgb="FF595959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D9D9"/>
        <bgColor rgb="FFDEEAF1"/>
      </patternFill>
    </fill>
    <fill>
      <patternFill patternType="solid">
        <fgColor rgb="FFDEEAF1"/>
        <bgColor rgb="FFE2EFDA"/>
      </patternFill>
    </fill>
    <fill>
      <patternFill patternType="solid">
        <fgColor rgb="FFFFFFFF"/>
        <bgColor rgb="FFFFF2CC"/>
      </patternFill>
    </fill>
    <fill>
      <patternFill patternType="solid">
        <fgColor rgb="FF2E75B6"/>
        <bgColor rgb="FF1F6B75"/>
      </patternFill>
    </fill>
    <fill>
      <patternFill patternType="solid">
        <fgColor rgb="FFE2EFDA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6B75"/>
        <bgColor rgb="FF008080"/>
      </patternFill>
    </fill>
    <fill>
      <patternFill patternType="solid">
        <fgColor rgb="FFBDD7EE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5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1F6B75"/>
      <rgbColor rgb="FFBFBFBF"/>
      <rgbColor rgb="FF808080"/>
      <rgbColor rgb="FF9999FF"/>
      <rgbColor rgb="FF7030A0"/>
      <rgbColor rgb="FFFFF2CC"/>
      <rgbColor rgb="FFDEEA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7" min="2" style="0" width="14"/>
    <col collapsed="false" customWidth="true" hidden="false" outlineLevel="0" max="8" min="8" style="0" width="4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1" min="11" style="0" width="16"/>
    <col collapsed="false" customWidth="true" hidden="false" outlineLevel="0" max="13" min="12" style="0" width="14"/>
    <col collapsed="false" customWidth="true" hidden="false" outlineLevel="0" max="15" min="14" style="0" width="13"/>
    <col collapsed="false" customWidth="true" hidden="false" outlineLevel="0" max="16" min="16" style="0" width="18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customFormat="false" ht="18" hidden="false" customHeight="true" outlineLevel="0" collapsed="false">
      <c r="A5" s="4" t="s">
        <v>3</v>
      </c>
      <c r="B5" s="4"/>
      <c r="C5" s="4" t="s">
        <v>4</v>
      </c>
      <c r="D5" s="4"/>
      <c r="E5" s="4" t="s">
        <v>5</v>
      </c>
      <c r="F5" s="4"/>
      <c r="G5" s="4" t="s">
        <v>6</v>
      </c>
      <c r="H5" s="4"/>
      <c r="I5" s="4" t="s">
        <v>7</v>
      </c>
      <c r="J5" s="4"/>
      <c r="K5" s="4" t="s">
        <v>8</v>
      </c>
      <c r="L5" s="4"/>
      <c r="M5" s="4" t="s">
        <v>9</v>
      </c>
      <c r="N5" s="4"/>
      <c r="O5" s="4" t="s">
        <v>10</v>
      </c>
      <c r="P5" s="4"/>
    </row>
    <row r="6" customFormat="false" ht="31.5" hidden="false" customHeight="true" outlineLevel="0" collapsed="false">
      <c r="A6" s="5" t="n">
        <f aca="false">SUMIF('Initiative Log'!D3:D27,"HC",'Initiative Log'!P3:P27)+SUMIF('Initiative Log'!D3:D27,"Non-HC",'Initiative Log'!P3:P27)</f>
        <v>23480000</v>
      </c>
      <c r="B6" s="5"/>
      <c r="C6" s="5" t="n">
        <f aca="false">SUMIF('Initiative Log'!D3:D27,"HC",'Initiative Log'!P3:P27)</f>
        <v>2865000</v>
      </c>
      <c r="D6" s="5"/>
      <c r="E6" s="5" t="n">
        <f aca="false">SUMIF('Initiative Log'!D3:D27,"Non-HC",'Initiative Log'!P3:P27)</f>
        <v>20615000</v>
      </c>
      <c r="F6" s="5"/>
      <c r="G6" s="5" t="n">
        <f aca="false">SUMIF('Initiative Log'!D3:D27,"HC",'Initiative Log'!Q3:Q27)+SUMIF('Initiative Log'!D3:D27,"Non-HC",'Initiative Log'!Q3:Q27)</f>
        <v>6425000</v>
      </c>
      <c r="H6" s="5"/>
      <c r="I6" s="5" t="n">
        <f aca="false">SUMIF('Initiative Log'!D3:D27,"HC",'Initiative Log'!P3:P27)+SUMIF('Initiative Log'!D3:D27,"Non-HC",'Initiative Log'!P3:P27)-SUMIF('Initiative Log'!D3:D27,"HC",'Initiative Log'!Q3:Q27)-SUMIF('Initiative Log'!D3:D27,"Non-HC",'Initiative Log'!Q3:Q27)</f>
        <v>17055000</v>
      </c>
      <c r="J6" s="5"/>
      <c r="K6" s="6" t="n">
        <f aca="false">SUM('HC Detail'!G3:G22)</f>
        <v>20</v>
      </c>
      <c r="L6" s="6"/>
      <c r="M6" s="6" t="n">
        <f aca="false">COUNTIF('Initiative Log'!L3:L27,"Active")</f>
        <v>16</v>
      </c>
      <c r="N6" s="6"/>
      <c r="O6" s="6" t="n">
        <f aca="false">COUNTIF('Initiative Log'!L3:L27,"Complete")</f>
        <v>2</v>
      </c>
      <c r="P6" s="6"/>
    </row>
    <row r="8" customFormat="false" ht="21.75" hidden="false" customHeight="true" outlineLevel="0" collapsed="false">
      <c r="A8" s="3" t="s">
        <v>11</v>
      </c>
      <c r="B8" s="3"/>
      <c r="C8" s="3"/>
      <c r="D8" s="3"/>
      <c r="E8" s="3"/>
      <c r="F8" s="3"/>
      <c r="G8" s="3"/>
      <c r="H8" s="3"/>
    </row>
    <row r="9" customFormat="false" ht="31.5" hidden="false" customHeight="true" outlineLevel="0" collapsed="false">
      <c r="A9" s="7" t="s">
        <v>12</v>
      </c>
      <c r="B9" s="7" t="s">
        <v>13</v>
      </c>
      <c r="C9" s="7" t="s">
        <v>14</v>
      </c>
      <c r="D9" s="7" t="s">
        <v>15</v>
      </c>
      <c r="E9" s="7" t="s">
        <v>16</v>
      </c>
      <c r="F9" s="7" t="s">
        <v>17</v>
      </c>
      <c r="G9" s="7" t="s">
        <v>18</v>
      </c>
      <c r="H9" s="7" t="s">
        <v>19</v>
      </c>
    </row>
    <row r="10" customFormat="false" ht="19.5" hidden="false" customHeight="true" outlineLevel="0" collapsed="false">
      <c r="A10" s="8" t="s">
        <v>20</v>
      </c>
      <c r="B10" s="9" t="n">
        <f aca="false">COUNTIF('Initiative Log'!C3:C27,"Dx")</f>
        <v>9</v>
      </c>
      <c r="C10" s="10" t="n">
        <f aca="false">SUMPRODUCT(('Initiative Log'!C3:C27="Dx")*('Initiative Log'!D3:D27="HC")*'Initiative Log'!P3:P27)</f>
        <v>1175000</v>
      </c>
      <c r="D10" s="10" t="n">
        <f aca="false">SUMPRODUCT(('Initiative Log'!C3:C27="Dx")*('Initiative Log'!D3:D27="Non-HC")*'Initiative Log'!P3:P27)</f>
        <v>11100000</v>
      </c>
      <c r="E10" s="10" t="n">
        <f aca="false">C10+D10</f>
        <v>12275000</v>
      </c>
      <c r="F10" s="10" t="n">
        <f aca="false">SUMIF('Initiative Log'!C3:C27,"Dx",'Initiative Log'!Q3:Q27)</f>
        <v>2490000</v>
      </c>
      <c r="G10" s="10" t="n">
        <f aca="false">E10-F10</f>
        <v>9785000</v>
      </c>
      <c r="H10" s="11" t="n">
        <f aca="false">IFERROR(E10/E13,"-")</f>
        <v>0.52278534923339</v>
      </c>
    </row>
    <row r="11" customFormat="false" ht="19.5" hidden="false" customHeight="true" outlineLevel="0" collapsed="false">
      <c r="A11" s="12" t="s">
        <v>21</v>
      </c>
      <c r="B11" s="13" t="n">
        <f aca="false">COUNTIF('Initiative Log'!C3:C27,"BH")</f>
        <v>9</v>
      </c>
      <c r="C11" s="14" t="n">
        <f aca="false">SUMPRODUCT(('Initiative Log'!C3:C27="BH")*('Initiative Log'!D3:D27="HC")*'Initiative Log'!P3:P27)</f>
        <v>985000</v>
      </c>
      <c r="D11" s="14" t="n">
        <f aca="false">SUMPRODUCT(('Initiative Log'!C3:C27="BH")*('Initiative Log'!D3:D27="Non-HC")*'Initiative Log'!P3:P27)</f>
        <v>6170000</v>
      </c>
      <c r="E11" s="14" t="n">
        <f aca="false">C11+D11</f>
        <v>7155000</v>
      </c>
      <c r="F11" s="14" t="n">
        <f aca="false">SUMIF('Initiative Log'!C3:C27,"BH",'Initiative Log'!Q3:Q27)</f>
        <v>3685000</v>
      </c>
      <c r="G11" s="14" t="n">
        <f aca="false">E11-F11</f>
        <v>3470000</v>
      </c>
      <c r="H11" s="15" t="n">
        <f aca="false">IFERROR(E11/E13,"-")</f>
        <v>0.304727427597956</v>
      </c>
    </row>
    <row r="12" customFormat="false" ht="19.5" hidden="false" customHeight="true" outlineLevel="0" collapsed="false">
      <c r="A12" s="8" t="s">
        <v>22</v>
      </c>
      <c r="B12" s="9" t="n">
        <f aca="false">COUNTIF('Initiative Log'!C3:C27,"GY")</f>
        <v>7</v>
      </c>
      <c r="C12" s="10" t="n">
        <f aca="false">SUMPRODUCT(('Initiative Log'!C3:C27="GY")*('Initiative Log'!D3:D27="HC")*'Initiative Log'!P3:P27)</f>
        <v>705000</v>
      </c>
      <c r="D12" s="10" t="n">
        <f aca="false">SUMPRODUCT(('Initiative Log'!C3:C27="GY")*('Initiative Log'!D3:D27="Non-HC")*'Initiative Log'!P3:P27)</f>
        <v>3345000</v>
      </c>
      <c r="E12" s="10" t="n">
        <f aca="false">C12+D12</f>
        <v>4050000</v>
      </c>
      <c r="F12" s="10" t="n">
        <f aca="false">SUMIF('Initiative Log'!C3:C27,"GY",'Initiative Log'!Q3:Q27)</f>
        <v>250000</v>
      </c>
      <c r="G12" s="10" t="n">
        <f aca="false">E12-F12</f>
        <v>3800000</v>
      </c>
      <c r="H12" s="11" t="n">
        <f aca="false">IFERROR(E12/E13,"-")</f>
        <v>0.172487223168654</v>
      </c>
    </row>
    <row r="13" customFormat="false" ht="21.75" hidden="false" customHeight="true" outlineLevel="0" collapsed="false">
      <c r="A13" s="16" t="s">
        <v>23</v>
      </c>
      <c r="B13" s="16"/>
      <c r="C13" s="17" t="n">
        <f aca="false">SUM(C10:C12)</f>
        <v>2865000</v>
      </c>
      <c r="D13" s="17" t="n">
        <f aca="false">SUM(D10:D12)</f>
        <v>20615000</v>
      </c>
      <c r="E13" s="17" t="n">
        <f aca="false">SUM(E10:E12)</f>
        <v>23480000</v>
      </c>
      <c r="F13" s="17" t="n">
        <f aca="false">SUM(F10:F12)</f>
        <v>6425000</v>
      </c>
      <c r="G13" s="17" t="n">
        <f aca="false">SUM(G10:G12)</f>
        <v>17055000</v>
      </c>
      <c r="H13" s="18" t="s">
        <v>24</v>
      </c>
    </row>
    <row r="15" customFormat="false" ht="21.75" hidden="false" customHeight="true" outlineLevel="0" collapsed="false">
      <c r="A15" s="3" t="s">
        <v>25</v>
      </c>
      <c r="B15" s="3"/>
      <c r="C15" s="3"/>
      <c r="D15" s="3"/>
      <c r="E15" s="3"/>
      <c r="F15" s="3"/>
      <c r="G15" s="3"/>
      <c r="H15" s="3"/>
      <c r="I15" s="3" t="s">
        <v>26</v>
      </c>
      <c r="J15" s="3"/>
      <c r="K15" s="3"/>
      <c r="L15" s="3"/>
      <c r="M15" s="3"/>
      <c r="N15" s="3"/>
      <c r="O15" s="3"/>
      <c r="P15" s="3"/>
    </row>
    <row r="16" customFormat="false" ht="31.5" hidden="false" customHeight="true" outlineLevel="0" collapsed="false">
      <c r="A16" s="7" t="s">
        <v>27</v>
      </c>
      <c r="B16" s="7" t="s">
        <v>13</v>
      </c>
      <c r="C16" s="7" t="s">
        <v>16</v>
      </c>
      <c r="D16" s="7" t="s">
        <v>17</v>
      </c>
      <c r="E16" s="7" t="s">
        <v>18</v>
      </c>
      <c r="F16" s="7" t="s">
        <v>28</v>
      </c>
      <c r="G16" s="7" t="s">
        <v>29</v>
      </c>
      <c r="H16" s="7" t="s">
        <v>30</v>
      </c>
      <c r="I16" s="7" t="s">
        <v>27</v>
      </c>
      <c r="J16" s="7" t="s">
        <v>13</v>
      </c>
      <c r="K16" s="7" t="s">
        <v>16</v>
      </c>
      <c r="L16" s="7" t="s">
        <v>17</v>
      </c>
      <c r="M16" s="7" t="s">
        <v>18</v>
      </c>
      <c r="N16" s="7" t="s">
        <v>28</v>
      </c>
      <c r="O16" s="7" t="s">
        <v>29</v>
      </c>
      <c r="P16" s="7" t="s">
        <v>30</v>
      </c>
    </row>
    <row r="17" customFormat="false" ht="19.5" hidden="false" customHeight="true" outlineLevel="0" collapsed="false">
      <c r="A17" s="19" t="s">
        <v>31</v>
      </c>
      <c r="B17" s="20" t="n">
        <v>2</v>
      </c>
      <c r="C17" s="21" t="n">
        <v>6050000</v>
      </c>
      <c r="D17" s="21" t="n">
        <v>2750000</v>
      </c>
      <c r="E17" s="21" t="n">
        <v>3300000</v>
      </c>
      <c r="F17" s="21" t="n">
        <v>1445000</v>
      </c>
      <c r="G17" s="21" t="n">
        <v>6050000</v>
      </c>
      <c r="H17" s="19" t="s">
        <v>32</v>
      </c>
      <c r="I17" s="8" t="s">
        <v>33</v>
      </c>
      <c r="J17" s="9" t="n">
        <v>5</v>
      </c>
      <c r="K17" s="10" t="n">
        <v>2840000</v>
      </c>
      <c r="L17" s="10" t="n">
        <v>270000</v>
      </c>
      <c r="M17" s="10" t="n">
        <v>2570000</v>
      </c>
      <c r="N17" s="10" t="n">
        <v>2060000</v>
      </c>
      <c r="O17" s="10" t="n">
        <v>2840000</v>
      </c>
      <c r="P17" s="8" t="s">
        <v>34</v>
      </c>
    </row>
    <row r="18" customFormat="false" ht="19.5" hidden="false" customHeight="true" outlineLevel="0" collapsed="false">
      <c r="A18" s="22" t="s">
        <v>35</v>
      </c>
      <c r="B18" s="23" t="n">
        <v>11</v>
      </c>
      <c r="C18" s="24" t="n">
        <v>3345000</v>
      </c>
      <c r="D18" s="24" t="n">
        <v>430000</v>
      </c>
      <c r="E18" s="24" t="n">
        <v>2915000</v>
      </c>
      <c r="F18" s="24" t="n">
        <v>1450500</v>
      </c>
      <c r="G18" s="24" t="n">
        <v>3345000</v>
      </c>
      <c r="H18" s="22" t="s">
        <v>36</v>
      </c>
      <c r="I18" s="12" t="s">
        <v>37</v>
      </c>
      <c r="J18" s="13" t="n">
        <v>6</v>
      </c>
      <c r="K18" s="14" t="n">
        <v>7655000</v>
      </c>
      <c r="L18" s="14" t="n">
        <v>2980000</v>
      </c>
      <c r="M18" s="14" t="n">
        <v>4675000</v>
      </c>
      <c r="N18" s="14" t="n">
        <v>2021000</v>
      </c>
      <c r="O18" s="14" t="n">
        <v>7655000</v>
      </c>
      <c r="P18" s="12" t="s">
        <v>38</v>
      </c>
    </row>
    <row r="19" customFormat="false" ht="19.5" hidden="false" customHeight="true" outlineLevel="0" collapsed="false">
      <c r="A19" s="19" t="s">
        <v>39</v>
      </c>
      <c r="B19" s="20" t="n">
        <v>3</v>
      </c>
      <c r="C19" s="21" t="n">
        <v>5175000</v>
      </c>
      <c r="D19" s="21" t="n">
        <v>280000</v>
      </c>
      <c r="E19" s="21" t="n">
        <v>4895000</v>
      </c>
      <c r="F19" s="21" t="n">
        <v>2325000</v>
      </c>
      <c r="G19" s="21" t="n">
        <v>5175000</v>
      </c>
      <c r="H19" s="19" t="s">
        <v>32</v>
      </c>
      <c r="I19" s="8" t="s">
        <v>40</v>
      </c>
      <c r="J19" s="9" t="n">
        <v>3</v>
      </c>
      <c r="K19" s="10" t="n">
        <v>5175000</v>
      </c>
      <c r="L19" s="10" t="n">
        <v>280000</v>
      </c>
      <c r="M19" s="10" t="n">
        <v>4895000</v>
      </c>
      <c r="N19" s="10" t="n">
        <v>2325000</v>
      </c>
      <c r="O19" s="10" t="n">
        <v>5175000</v>
      </c>
      <c r="P19" s="8" t="s">
        <v>41</v>
      </c>
    </row>
    <row r="20" customFormat="false" ht="19.5" hidden="false" customHeight="true" outlineLevel="0" collapsed="false">
      <c r="A20" s="22" t="s">
        <v>42</v>
      </c>
      <c r="B20" s="23" t="n">
        <v>2</v>
      </c>
      <c r="C20" s="24" t="n">
        <v>1330000</v>
      </c>
      <c r="D20" s="24" t="n">
        <v>195000</v>
      </c>
      <c r="E20" s="24" t="n">
        <v>1135000</v>
      </c>
      <c r="F20" s="24" t="n">
        <v>627000</v>
      </c>
      <c r="G20" s="24" t="n">
        <v>1330000</v>
      </c>
      <c r="H20" s="22" t="s">
        <v>36</v>
      </c>
      <c r="I20" s="12" t="s">
        <v>43</v>
      </c>
      <c r="J20" s="13" t="n">
        <v>3</v>
      </c>
      <c r="K20" s="14" t="n">
        <v>1515000</v>
      </c>
      <c r="L20" s="14" t="n">
        <v>220000</v>
      </c>
      <c r="M20" s="14" t="n">
        <v>1295000</v>
      </c>
      <c r="N20" s="14" t="n">
        <v>719500</v>
      </c>
      <c r="O20" s="14" t="n">
        <v>1515000</v>
      </c>
      <c r="P20" s="12" t="s">
        <v>44</v>
      </c>
    </row>
    <row r="21" customFormat="false" ht="19.5" hidden="false" customHeight="true" outlineLevel="0" collapsed="false">
      <c r="A21" s="19" t="s">
        <v>45</v>
      </c>
      <c r="B21" s="20" t="n">
        <v>3</v>
      </c>
      <c r="C21" s="21" t="n">
        <v>4620000</v>
      </c>
      <c r="D21" s="21" t="n">
        <v>2430000</v>
      </c>
      <c r="E21" s="21" t="n">
        <v>2190000</v>
      </c>
      <c r="F21" s="21" t="n">
        <v>1470000</v>
      </c>
      <c r="G21" s="21" t="n">
        <v>4620000</v>
      </c>
      <c r="H21" s="19" t="s">
        <v>46</v>
      </c>
      <c r="I21" s="8" t="s">
        <v>47</v>
      </c>
      <c r="J21" s="9" t="n">
        <v>3</v>
      </c>
      <c r="K21" s="10" t="n">
        <v>2030000</v>
      </c>
      <c r="L21" s="10" t="n">
        <v>2270000</v>
      </c>
      <c r="M21" s="10" t="n">
        <v>-240000</v>
      </c>
      <c r="N21" s="10" t="n">
        <v>392000</v>
      </c>
      <c r="O21" s="10" t="n">
        <v>2030000</v>
      </c>
      <c r="P21" s="8" t="s">
        <v>48</v>
      </c>
    </row>
    <row r="22" customFormat="false" ht="19.5" hidden="false" customHeight="true" outlineLevel="0" collapsed="false">
      <c r="A22" s="22" t="s">
        <v>49</v>
      </c>
      <c r="B22" s="23" t="n">
        <v>2</v>
      </c>
      <c r="C22" s="24" t="n">
        <v>1100000</v>
      </c>
      <c r="D22" s="24" t="n">
        <v>160000</v>
      </c>
      <c r="E22" s="24" t="n">
        <v>940000</v>
      </c>
      <c r="F22" s="24" t="n">
        <v>406000</v>
      </c>
      <c r="G22" s="24" t="n">
        <v>1100000</v>
      </c>
      <c r="H22" s="22" t="s">
        <v>32</v>
      </c>
      <c r="I22" s="12" t="s">
        <v>50</v>
      </c>
      <c r="J22" s="13" t="n">
        <v>3</v>
      </c>
      <c r="K22" s="14" t="n">
        <v>3620000</v>
      </c>
      <c r="L22" s="14" t="n">
        <v>310000</v>
      </c>
      <c r="M22" s="14" t="n">
        <v>3310000</v>
      </c>
      <c r="N22" s="14" t="n">
        <v>1428000</v>
      </c>
      <c r="O22" s="14" t="n">
        <v>3620000</v>
      </c>
      <c r="P22" s="12" t="s">
        <v>41</v>
      </c>
    </row>
    <row r="23" customFormat="false" ht="19.5" hidden="false" customHeight="true" outlineLevel="0" collapsed="false">
      <c r="A23" s="19" t="s">
        <v>51</v>
      </c>
      <c r="B23" s="20" t="n">
        <v>2</v>
      </c>
      <c r="C23" s="21" t="n">
        <v>1860000</v>
      </c>
      <c r="D23" s="21" t="n">
        <v>180000</v>
      </c>
      <c r="E23" s="21" t="n">
        <v>1680000</v>
      </c>
      <c r="F23" s="21" t="n">
        <v>1480000</v>
      </c>
      <c r="G23" s="21" t="n">
        <v>1860000</v>
      </c>
      <c r="H23" s="19" t="s">
        <v>36</v>
      </c>
      <c r="I23" s="8" t="s">
        <v>52</v>
      </c>
      <c r="J23" s="9" t="n">
        <v>1</v>
      </c>
      <c r="K23" s="10" t="n">
        <v>385000</v>
      </c>
      <c r="L23" s="10" t="n">
        <v>65000</v>
      </c>
      <c r="M23" s="10" t="n">
        <v>320000</v>
      </c>
      <c r="N23" s="10" t="n">
        <v>154000</v>
      </c>
      <c r="O23" s="10" t="n">
        <v>385000</v>
      </c>
      <c r="P23" s="8" t="s">
        <v>53</v>
      </c>
    </row>
    <row r="24" customFormat="false" ht="19.5" hidden="false" customHeight="true" outlineLevel="0" collapsed="false">
      <c r="A24" s="16" t="s">
        <v>23</v>
      </c>
      <c r="B24" s="16"/>
      <c r="C24" s="17" t="n">
        <f aca="false">SUM(C17:C23)</f>
        <v>23480000</v>
      </c>
      <c r="D24" s="17" t="n">
        <f aca="false">SUM(D17:D23)</f>
        <v>6425000</v>
      </c>
      <c r="E24" s="17" t="n">
        <f aca="false">SUM(E17:E23)</f>
        <v>17055000</v>
      </c>
      <c r="F24" s="17" t="n">
        <f aca="false">SUM(F17:F23)</f>
        <v>9203500</v>
      </c>
      <c r="G24" s="17" t="n">
        <f aca="false">SUM(G17:G23)</f>
        <v>23480000</v>
      </c>
      <c r="I24" s="12" t="s">
        <v>54</v>
      </c>
      <c r="J24" s="13" t="n">
        <v>1</v>
      </c>
      <c r="K24" s="14" t="n">
        <v>260000</v>
      </c>
      <c r="L24" s="14" t="n">
        <v>30000</v>
      </c>
      <c r="M24" s="14" t="n">
        <v>230000</v>
      </c>
      <c r="N24" s="14" t="n">
        <v>104000</v>
      </c>
      <c r="O24" s="14" t="n">
        <v>260000</v>
      </c>
      <c r="P24" s="12" t="s">
        <v>53</v>
      </c>
    </row>
    <row r="26" customFormat="false" ht="21.75" hidden="false" customHeight="true" outlineLevel="0" collapsed="false">
      <c r="A26" s="3" t="s">
        <v>55</v>
      </c>
      <c r="B26" s="3"/>
      <c r="C26" s="3"/>
      <c r="D26" s="3"/>
      <c r="E26" s="3"/>
      <c r="F26" s="3"/>
      <c r="G26" s="3"/>
      <c r="H26" s="3"/>
    </row>
    <row r="27" customFormat="false" ht="31.5" hidden="false" customHeight="true" outlineLevel="0" collapsed="false">
      <c r="A27" s="7" t="s">
        <v>56</v>
      </c>
      <c r="B27" s="7" t="s">
        <v>57</v>
      </c>
      <c r="C27" s="7" t="s">
        <v>58</v>
      </c>
      <c r="D27" s="7" t="s">
        <v>17</v>
      </c>
      <c r="E27" s="7" t="s">
        <v>59</v>
      </c>
      <c r="F27" s="7" t="s">
        <v>60</v>
      </c>
      <c r="G27" s="7" t="s">
        <v>61</v>
      </c>
      <c r="H27" s="7" t="s">
        <v>62</v>
      </c>
    </row>
    <row r="28" customFormat="false" ht="19.5" hidden="false" customHeight="true" outlineLevel="0" collapsed="false">
      <c r="A28" s="25" t="s">
        <v>63</v>
      </c>
      <c r="B28" s="13" t="n">
        <v>16</v>
      </c>
      <c r="C28" s="14" t="n">
        <v>16770000</v>
      </c>
      <c r="D28" s="14" t="n">
        <v>2960000</v>
      </c>
      <c r="E28" s="14" t="n">
        <v>13810000</v>
      </c>
      <c r="F28" s="15" t="n">
        <f aca="false">IFERROR(B28/B32,"-")</f>
        <v>0.64</v>
      </c>
      <c r="G28" s="15" t="n">
        <f aca="false">IFERROR(C28/C32,"-")</f>
        <v>0.714224872231687</v>
      </c>
      <c r="H28" s="12"/>
    </row>
    <row r="29" customFormat="false" ht="19.5" hidden="false" customHeight="true" outlineLevel="0" collapsed="false">
      <c r="A29" s="26" t="s">
        <v>64</v>
      </c>
      <c r="B29" s="13" t="n">
        <v>7</v>
      </c>
      <c r="C29" s="14" t="n">
        <v>5430000</v>
      </c>
      <c r="D29" s="14" t="n">
        <v>3445000</v>
      </c>
      <c r="E29" s="14" t="n">
        <v>1985000</v>
      </c>
      <c r="F29" s="15" t="n">
        <f aca="false">IFERROR(B29/B32,"-")</f>
        <v>0.28</v>
      </c>
      <c r="G29" s="15" t="n">
        <f aca="false">IFERROR(C29/C32,"-")</f>
        <v>0.231260647359455</v>
      </c>
      <c r="H29" s="12"/>
    </row>
    <row r="30" customFormat="false" ht="19.5" hidden="false" customHeight="true" outlineLevel="0" collapsed="false">
      <c r="A30" s="27" t="s">
        <v>65</v>
      </c>
      <c r="B30" s="13" t="n">
        <v>2</v>
      </c>
      <c r="C30" s="14" t="n">
        <v>1280000</v>
      </c>
      <c r="D30" s="14" t="n">
        <v>20000</v>
      </c>
      <c r="E30" s="14" t="n">
        <v>1260000</v>
      </c>
      <c r="F30" s="15" t="n">
        <f aca="false">IFERROR(B30/B32,"-")</f>
        <v>0.08</v>
      </c>
      <c r="G30" s="15" t="n">
        <f aca="false">IFERROR(C30/C32,"-")</f>
        <v>0.0545144804088586</v>
      </c>
      <c r="H30" s="12"/>
    </row>
    <row r="31" customFormat="false" ht="19.5" hidden="false" customHeight="true" outlineLevel="0" collapsed="false">
      <c r="A31" s="28" t="s">
        <v>66</v>
      </c>
      <c r="B31" s="13" t="n">
        <v>0</v>
      </c>
      <c r="C31" s="14" t="n">
        <v>0</v>
      </c>
      <c r="D31" s="14" t="n">
        <v>0</v>
      </c>
      <c r="E31" s="14" t="n">
        <v>0</v>
      </c>
      <c r="F31" s="15" t="n">
        <f aca="false">IFERROR(B31/B32,"-")</f>
        <v>0</v>
      </c>
      <c r="G31" s="15" t="n">
        <f aca="false">IFERROR(C31/C32,"-")</f>
        <v>0</v>
      </c>
      <c r="H31" s="12"/>
    </row>
    <row r="32" customFormat="false" ht="21.75" hidden="false" customHeight="true" outlineLevel="0" collapsed="false">
      <c r="A32" s="29" t="s">
        <v>23</v>
      </c>
      <c r="B32" s="30" t="n">
        <f aca="false">SUM(B28:B31)</f>
        <v>25</v>
      </c>
      <c r="C32" s="17" t="n">
        <f aca="false">SUM(C28:C31)</f>
        <v>23480000</v>
      </c>
      <c r="D32" s="17" t="n">
        <f aca="false">SUM(D28:D31)</f>
        <v>6425000</v>
      </c>
      <c r="E32" s="17" t="n">
        <f aca="false">SUM(E28:E31)</f>
        <v>17055000</v>
      </c>
    </row>
    <row r="34" customFormat="false" ht="21.75" hidden="false" customHeight="true" outlineLevel="0" collapsed="false">
      <c r="A34" s="3" t="s">
        <v>67</v>
      </c>
      <c r="B34" s="3"/>
      <c r="C34" s="3"/>
      <c r="D34" s="3"/>
      <c r="E34" s="3"/>
      <c r="F34" s="3"/>
      <c r="G34" s="3"/>
      <c r="H34" s="3"/>
    </row>
    <row r="35" customFormat="false" ht="31.5" hidden="false" customHeight="true" outlineLevel="0" collapsed="false">
      <c r="A35" s="7" t="s">
        <v>68</v>
      </c>
      <c r="B35" s="7" t="s">
        <v>69</v>
      </c>
      <c r="C35" s="7" t="s">
        <v>70</v>
      </c>
      <c r="D35" s="7" t="s">
        <v>71</v>
      </c>
      <c r="E35" s="7" t="s">
        <v>72</v>
      </c>
      <c r="F35" s="7" t="s">
        <v>73</v>
      </c>
      <c r="G35" s="7" t="s">
        <v>74</v>
      </c>
      <c r="H35" s="7" t="s">
        <v>75</v>
      </c>
    </row>
    <row r="36" customFormat="false" ht="19.5" hidden="false" customHeight="true" outlineLevel="0" collapsed="false">
      <c r="A36" s="19" t="s">
        <v>76</v>
      </c>
      <c r="B36" s="21" t="n">
        <v>1210500</v>
      </c>
      <c r="C36" s="21" t="n">
        <v>2700000</v>
      </c>
      <c r="D36" s="21" t="n">
        <v>2865000</v>
      </c>
      <c r="E36" s="21" t="n">
        <f aca="false">B36</f>
        <v>1210500</v>
      </c>
      <c r="F36" s="21" t="n">
        <f aca="false">E36+C36</f>
        <v>3910500</v>
      </c>
      <c r="G36" s="21" t="n">
        <f aca="false">F36+D36</f>
        <v>6775500</v>
      </c>
      <c r="H36" s="19" t="s">
        <v>77</v>
      </c>
    </row>
    <row r="37" customFormat="false" ht="19.5" hidden="false" customHeight="true" outlineLevel="0" collapsed="false">
      <c r="A37" s="22" t="s">
        <v>78</v>
      </c>
      <c r="B37" s="24" t="n">
        <v>4176000</v>
      </c>
      <c r="C37" s="24" t="n">
        <v>10474000</v>
      </c>
      <c r="D37" s="24" t="n">
        <v>12325000</v>
      </c>
      <c r="E37" s="24" t="n">
        <f aca="false">B37</f>
        <v>4176000</v>
      </c>
      <c r="F37" s="24" t="n">
        <f aca="false">E37+C37</f>
        <v>14650000</v>
      </c>
      <c r="G37" s="24" t="n">
        <f aca="false">F37+D37</f>
        <v>26975000</v>
      </c>
      <c r="H37" s="22" t="s">
        <v>79</v>
      </c>
    </row>
    <row r="38" customFormat="false" ht="19.5" hidden="false" customHeight="true" outlineLevel="0" collapsed="false">
      <c r="A38" s="19" t="s">
        <v>80</v>
      </c>
      <c r="B38" s="21" t="n">
        <v>2697000</v>
      </c>
      <c r="C38" s="21" t="n">
        <v>4930000</v>
      </c>
      <c r="D38" s="21" t="n">
        <v>5490000</v>
      </c>
      <c r="E38" s="21" t="n">
        <f aca="false">B38</f>
        <v>2697000</v>
      </c>
      <c r="F38" s="21" t="n">
        <f aca="false">E38+C38</f>
        <v>7627000</v>
      </c>
      <c r="G38" s="21" t="n">
        <f aca="false">F38+D38</f>
        <v>13117000</v>
      </c>
      <c r="H38" s="19" t="s">
        <v>81</v>
      </c>
    </row>
    <row r="39" customFormat="false" ht="19.5" hidden="false" customHeight="true" outlineLevel="0" collapsed="false">
      <c r="A39" s="22" t="s">
        <v>82</v>
      </c>
      <c r="B39" s="24" t="n">
        <v>1120000</v>
      </c>
      <c r="C39" s="24" t="n">
        <v>2520000</v>
      </c>
      <c r="D39" s="24" t="n">
        <v>2800000</v>
      </c>
      <c r="E39" s="24" t="n">
        <f aca="false">B39</f>
        <v>1120000</v>
      </c>
      <c r="F39" s="24" t="n">
        <f aca="false">E39+C39</f>
        <v>3640000</v>
      </c>
      <c r="G39" s="24" t="n">
        <f aca="false">F39+D39</f>
        <v>6440000</v>
      </c>
      <c r="H39" s="22" t="s">
        <v>83</v>
      </c>
    </row>
    <row r="40" customFormat="false" ht="21.75" hidden="false" customHeight="true" outlineLevel="0" collapsed="false">
      <c r="A40" s="29" t="s">
        <v>23</v>
      </c>
      <c r="B40" s="17" t="n">
        <f aca="false">SUM(B36:B39)</f>
        <v>9203500</v>
      </c>
      <c r="C40" s="17" t="n">
        <f aca="false">SUM(C36:C39)</f>
        <v>20624000</v>
      </c>
      <c r="D40" s="17" t="n">
        <f aca="false">SUM(D36:D39)</f>
        <v>23480000</v>
      </c>
      <c r="E40" s="17" t="n">
        <f aca="false">SUM(E36:E39)</f>
        <v>9203500</v>
      </c>
      <c r="F40" s="17" t="n">
        <f aca="false">SUM(F36:F39)</f>
        <v>29827500</v>
      </c>
      <c r="G40" s="17" t="n">
        <f aca="false">SUM(G36:G39)</f>
        <v>53307500</v>
      </c>
    </row>
  </sheetData>
  <mergeCells count="26">
    <mergeCell ref="A1:P1"/>
    <mergeCell ref="A2:P2"/>
    <mergeCell ref="A4:P4"/>
    <mergeCell ref="A5:B5"/>
    <mergeCell ref="C5:D5"/>
    <mergeCell ref="E5:F5"/>
    <mergeCell ref="G5:H5"/>
    <mergeCell ref="I5:J5"/>
    <mergeCell ref="K5:L5"/>
    <mergeCell ref="M5:N5"/>
    <mergeCell ref="O5:P5"/>
    <mergeCell ref="A6:B6"/>
    <mergeCell ref="C6:D6"/>
    <mergeCell ref="E6:F6"/>
    <mergeCell ref="G6:H6"/>
    <mergeCell ref="I6:J6"/>
    <mergeCell ref="K6:L6"/>
    <mergeCell ref="M6:N6"/>
    <mergeCell ref="O6:P6"/>
    <mergeCell ref="A8:H8"/>
    <mergeCell ref="A13:B13"/>
    <mergeCell ref="A15:H15"/>
    <mergeCell ref="I15:P15"/>
    <mergeCell ref="A24:B24"/>
    <mergeCell ref="A26:H26"/>
    <mergeCell ref="A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P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8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3" min="10" style="0" width="13"/>
    <col collapsed="false" customWidth="true" hidden="false" outlineLevel="0" max="14" min="14" style="0" width="22"/>
  </cols>
  <sheetData>
    <row r="1" customFormat="false" ht="31.5" hidden="false" customHeight="true" outlineLevel="0" collapsed="false">
      <c r="A1" s="31" t="s">
        <v>84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3" customFormat="false" ht="21.75" hidden="false" customHeight="true" outlineLevel="0" collapsed="false">
      <c r="A3" s="3" t="s">
        <v>85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8" hidden="false" customHeight="true" outlineLevel="0" collapsed="false">
      <c r="A4" s="4" t="s">
        <v>86</v>
      </c>
      <c r="B4" s="4"/>
      <c r="C4" s="4" t="s">
        <v>87</v>
      </c>
      <c r="D4" s="4"/>
      <c r="E4" s="4" t="s">
        <v>88</v>
      </c>
      <c r="F4" s="4"/>
      <c r="G4" s="4" t="s">
        <v>89</v>
      </c>
      <c r="H4" s="4"/>
      <c r="I4" s="4" t="s">
        <v>90</v>
      </c>
      <c r="J4" s="4"/>
      <c r="K4" s="4" t="s">
        <v>91</v>
      </c>
      <c r="L4" s="4"/>
      <c r="M4" s="4" t="s">
        <v>92</v>
      </c>
      <c r="N4" s="4"/>
      <c r="O4" s="4" t="s">
        <v>93</v>
      </c>
      <c r="P4" s="4"/>
    </row>
    <row r="5" customFormat="false" ht="30" hidden="false" customHeight="true" outlineLevel="0" collapsed="false">
      <c r="A5" s="32" t="s">
        <v>94</v>
      </c>
      <c r="B5" s="32"/>
      <c r="C5" s="5" t="n">
        <v>6050000</v>
      </c>
      <c r="D5" s="5"/>
      <c r="E5" s="5" t="n">
        <v>2750000</v>
      </c>
      <c r="F5" s="5"/>
      <c r="G5" s="5" t="n">
        <v>3300000</v>
      </c>
      <c r="H5" s="5"/>
      <c r="I5" s="5" t="n">
        <v>1445000</v>
      </c>
      <c r="J5" s="5"/>
      <c r="K5" s="5" t="n">
        <v>6050000</v>
      </c>
      <c r="L5" s="5"/>
      <c r="M5" s="5" t="n">
        <v>6957500</v>
      </c>
      <c r="N5" s="5"/>
      <c r="O5" s="5" t="n">
        <v>5142500</v>
      </c>
      <c r="P5" s="5"/>
    </row>
    <row r="7" customFormat="false" ht="21.75" hidden="false" customHeight="true" outlineLevel="0" collapsed="false">
      <c r="A7" s="33" t="s">
        <v>95</v>
      </c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</row>
    <row r="8" customFormat="false" ht="39.75" hidden="false" customHeight="true" outlineLevel="0" collapsed="false">
      <c r="A8" s="7" t="s">
        <v>96</v>
      </c>
      <c r="B8" s="7" t="s">
        <v>97</v>
      </c>
      <c r="C8" s="7" t="s">
        <v>12</v>
      </c>
      <c r="D8" s="7" t="s">
        <v>27</v>
      </c>
      <c r="E8" s="7" t="s">
        <v>98</v>
      </c>
      <c r="F8" s="7" t="s">
        <v>56</v>
      </c>
      <c r="G8" s="7" t="s">
        <v>99</v>
      </c>
      <c r="H8" s="7" t="s">
        <v>100</v>
      </c>
      <c r="I8" s="7" t="s">
        <v>101</v>
      </c>
      <c r="J8" s="7" t="s">
        <v>102</v>
      </c>
      <c r="K8" s="7" t="s">
        <v>29</v>
      </c>
      <c r="L8" s="7" t="s">
        <v>103</v>
      </c>
      <c r="M8" s="7" t="s">
        <v>104</v>
      </c>
      <c r="N8" s="7" t="s">
        <v>75</v>
      </c>
    </row>
    <row r="9" customFormat="false" ht="18" hidden="false" customHeight="true" outlineLevel="0" collapsed="false">
      <c r="A9" s="34" t="s">
        <v>105</v>
      </c>
      <c r="B9" s="34" t="s">
        <v>106</v>
      </c>
      <c r="C9" s="34" t="s">
        <v>107</v>
      </c>
      <c r="D9" s="34" t="s">
        <v>37</v>
      </c>
      <c r="E9" s="34" t="s">
        <v>32</v>
      </c>
      <c r="F9" s="35" t="s">
        <v>63</v>
      </c>
      <c r="G9" s="36" t="n">
        <v>4200000</v>
      </c>
      <c r="H9" s="36" t="n">
        <v>1800000</v>
      </c>
      <c r="I9" s="36" t="n">
        <v>2400000</v>
      </c>
      <c r="J9" s="36" t="n">
        <v>1260000</v>
      </c>
      <c r="K9" s="36" t="n">
        <v>4200000</v>
      </c>
      <c r="L9" s="36" t="n">
        <v>4830000</v>
      </c>
      <c r="M9" s="36" t="n">
        <v>3570000</v>
      </c>
      <c r="N9" s="34"/>
    </row>
    <row r="10" customFormat="false" ht="18" hidden="false" customHeight="true" outlineLevel="0" collapsed="false">
      <c r="A10" s="37" t="s">
        <v>108</v>
      </c>
      <c r="B10" s="37" t="s">
        <v>109</v>
      </c>
      <c r="C10" s="37" t="s">
        <v>110</v>
      </c>
      <c r="D10" s="37" t="s">
        <v>37</v>
      </c>
      <c r="E10" s="37" t="s">
        <v>32</v>
      </c>
      <c r="F10" s="38" t="s">
        <v>64</v>
      </c>
      <c r="G10" s="39" t="n">
        <v>1850000</v>
      </c>
      <c r="H10" s="39" t="n">
        <v>950000</v>
      </c>
      <c r="I10" s="39" t="n">
        <v>900000</v>
      </c>
      <c r="J10" s="39" t="n">
        <v>185000</v>
      </c>
      <c r="K10" s="39" t="n">
        <v>1850000</v>
      </c>
      <c r="L10" s="39" t="n">
        <v>2127500</v>
      </c>
      <c r="M10" s="39" t="n">
        <v>1572500</v>
      </c>
      <c r="N10" s="37"/>
    </row>
    <row r="11" customFormat="false" ht="19.5" hidden="false" customHeight="true" outlineLevel="0" collapsed="false">
      <c r="A11" s="16" t="s">
        <v>111</v>
      </c>
      <c r="B11" s="16"/>
      <c r="C11" s="16"/>
      <c r="D11" s="16"/>
      <c r="E11" s="16"/>
      <c r="F11" s="16"/>
      <c r="G11" s="17" t="n">
        <f aca="false">SUM(G9:G10)</f>
        <v>6050000</v>
      </c>
      <c r="H11" s="17" t="n">
        <f aca="false">SUM(H9:H10)</f>
        <v>2750000</v>
      </c>
      <c r="I11" s="17" t="n">
        <f aca="false">SUM(I9:I10)</f>
        <v>3300000</v>
      </c>
      <c r="J11" s="17" t="n">
        <f aca="false">SUM(J9:J10)</f>
        <v>1445000</v>
      </c>
      <c r="K11" s="17" t="n">
        <f aca="false">SUM(K9:K10)</f>
        <v>6050000</v>
      </c>
      <c r="L11" s="17" t="n">
        <f aca="false">SUM(L9:L10)</f>
        <v>6957500</v>
      </c>
      <c r="M11" s="17" t="n">
        <f aca="false">SUM(M9:M10)</f>
        <v>5142500</v>
      </c>
    </row>
    <row r="13" customFormat="false" ht="21.75" hidden="false" customHeight="true" outlineLevel="0" collapsed="false">
      <c r="A13" s="40" t="s">
        <v>112</v>
      </c>
      <c r="B13" s="40"/>
      <c r="C13" s="40"/>
      <c r="D13" s="40"/>
      <c r="E13" s="40"/>
      <c r="F13" s="40"/>
      <c r="G13" s="40"/>
      <c r="H13" s="40"/>
    </row>
    <row r="14" customFormat="false" ht="31.5" hidden="false" customHeight="true" outlineLevel="0" collapsed="false">
      <c r="A14" s="41" t="s">
        <v>113</v>
      </c>
      <c r="B14" s="41" t="s">
        <v>114</v>
      </c>
      <c r="C14" s="41" t="s">
        <v>58</v>
      </c>
      <c r="D14" s="41" t="s">
        <v>115</v>
      </c>
      <c r="E14" s="41" t="s">
        <v>116</v>
      </c>
      <c r="F14" s="41" t="s">
        <v>17</v>
      </c>
      <c r="G14" s="41" t="s">
        <v>18</v>
      </c>
      <c r="H14" s="41" t="s">
        <v>117</v>
      </c>
    </row>
    <row r="15" customFormat="false" ht="19.5" hidden="false" customHeight="true" outlineLevel="0" collapsed="false">
      <c r="A15" s="42" t="s">
        <v>118</v>
      </c>
      <c r="B15" s="42" t="s">
        <v>119</v>
      </c>
      <c r="C15" s="43" t="n">
        <v>6957499</v>
      </c>
      <c r="D15" s="43" t="n">
        <v>907499</v>
      </c>
      <c r="E15" s="44" t="n">
        <v>0.149999834710744</v>
      </c>
      <c r="F15" s="43" t="n">
        <v>2475000</v>
      </c>
      <c r="G15" s="43" t="n">
        <v>4482499</v>
      </c>
      <c r="H15" s="42" t="s">
        <v>120</v>
      </c>
    </row>
    <row r="16" customFormat="false" ht="19.5" hidden="false" customHeight="true" outlineLevel="0" collapsed="false">
      <c r="A16" s="34" t="s">
        <v>121</v>
      </c>
      <c r="B16" s="34" t="s">
        <v>122</v>
      </c>
      <c r="C16" s="36" t="n">
        <v>6050000</v>
      </c>
      <c r="D16" s="36" t="n">
        <v>0</v>
      </c>
      <c r="E16" s="45" t="n">
        <v>0</v>
      </c>
      <c r="F16" s="36" t="n">
        <v>2750000</v>
      </c>
      <c r="G16" s="36" t="n">
        <v>3300000</v>
      </c>
      <c r="H16" s="34" t="s">
        <v>123</v>
      </c>
    </row>
    <row r="17" customFormat="false" ht="19.5" hidden="false" customHeight="true" outlineLevel="0" collapsed="false">
      <c r="A17" s="46" t="s">
        <v>124</v>
      </c>
      <c r="B17" s="46" t="s">
        <v>125</v>
      </c>
      <c r="C17" s="47" t="n">
        <v>4537500</v>
      </c>
      <c r="D17" s="47" t="n">
        <v>-1512500</v>
      </c>
      <c r="E17" s="48" t="n">
        <v>-0.25</v>
      </c>
      <c r="F17" s="47" t="n">
        <v>3025000</v>
      </c>
      <c r="G17" s="47" t="n">
        <v>1512500</v>
      </c>
      <c r="H17" s="46" t="s">
        <v>126</v>
      </c>
    </row>
  </sheetData>
  <mergeCells count="21">
    <mergeCell ref="A1:N1"/>
    <mergeCell ref="A3:N3"/>
    <mergeCell ref="A4:B4"/>
    <mergeCell ref="C4:D4"/>
    <mergeCell ref="E4:F4"/>
    <mergeCell ref="G4:H4"/>
    <mergeCell ref="I4:J4"/>
    <mergeCell ref="K4:L4"/>
    <mergeCell ref="M4:N4"/>
    <mergeCell ref="O4:P4"/>
    <mergeCell ref="A5:B5"/>
    <mergeCell ref="C5:D5"/>
    <mergeCell ref="E5:F5"/>
    <mergeCell ref="G5:H5"/>
    <mergeCell ref="I5:J5"/>
    <mergeCell ref="K5:L5"/>
    <mergeCell ref="M5:N5"/>
    <mergeCell ref="O5:P5"/>
    <mergeCell ref="A7:N7"/>
    <mergeCell ref="A11:F11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P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8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3" min="10" style="0" width="13"/>
    <col collapsed="false" customWidth="true" hidden="false" outlineLevel="0" max="14" min="14" style="0" width="22"/>
  </cols>
  <sheetData>
    <row r="1" customFormat="false" ht="31.5" hidden="false" customHeight="true" outlineLevel="0" collapsed="false">
      <c r="A1" s="31" t="s">
        <v>127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3" customFormat="false" ht="21.75" hidden="false" customHeight="true" outlineLevel="0" collapsed="false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8" hidden="false" customHeight="true" outlineLevel="0" collapsed="false">
      <c r="A4" s="4" t="s">
        <v>86</v>
      </c>
      <c r="B4" s="4"/>
      <c r="C4" s="4" t="s">
        <v>87</v>
      </c>
      <c r="D4" s="4"/>
      <c r="E4" s="4" t="s">
        <v>88</v>
      </c>
      <c r="F4" s="4"/>
      <c r="G4" s="4" t="s">
        <v>89</v>
      </c>
      <c r="H4" s="4"/>
      <c r="I4" s="4" t="s">
        <v>90</v>
      </c>
      <c r="J4" s="4"/>
      <c r="K4" s="4" t="s">
        <v>91</v>
      </c>
      <c r="L4" s="4"/>
      <c r="M4" s="4" t="s">
        <v>92</v>
      </c>
      <c r="N4" s="4"/>
      <c r="O4" s="4" t="s">
        <v>93</v>
      </c>
      <c r="P4" s="4"/>
    </row>
    <row r="5" customFormat="false" ht="30" hidden="false" customHeight="true" outlineLevel="0" collapsed="false">
      <c r="A5" s="32" t="s">
        <v>129</v>
      </c>
      <c r="B5" s="32"/>
      <c r="C5" s="5" t="n">
        <v>5175000</v>
      </c>
      <c r="D5" s="5"/>
      <c r="E5" s="5" t="n">
        <v>280000</v>
      </c>
      <c r="F5" s="5"/>
      <c r="G5" s="5" t="n">
        <v>4895000</v>
      </c>
      <c r="H5" s="5"/>
      <c r="I5" s="5" t="n">
        <v>2325000</v>
      </c>
      <c r="J5" s="5"/>
      <c r="K5" s="5" t="n">
        <v>5175000</v>
      </c>
      <c r="L5" s="5"/>
      <c r="M5" s="5" t="n">
        <v>5951248</v>
      </c>
      <c r="N5" s="5"/>
      <c r="O5" s="5" t="n">
        <v>4398750</v>
      </c>
      <c r="P5" s="5"/>
    </row>
    <row r="7" customFormat="false" ht="21.75" hidden="false" customHeight="true" outlineLevel="0" collapsed="false">
      <c r="A7" s="33" t="s">
        <v>130</v>
      </c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</row>
    <row r="8" customFormat="false" ht="39.75" hidden="false" customHeight="true" outlineLevel="0" collapsed="false">
      <c r="A8" s="7" t="s">
        <v>96</v>
      </c>
      <c r="B8" s="7" t="s">
        <v>97</v>
      </c>
      <c r="C8" s="7" t="s">
        <v>12</v>
      </c>
      <c r="D8" s="7" t="s">
        <v>27</v>
      </c>
      <c r="E8" s="7" t="s">
        <v>98</v>
      </c>
      <c r="F8" s="7" t="s">
        <v>56</v>
      </c>
      <c r="G8" s="7" t="s">
        <v>99</v>
      </c>
      <c r="H8" s="7" t="s">
        <v>100</v>
      </c>
      <c r="I8" s="7" t="s">
        <v>101</v>
      </c>
      <c r="J8" s="7" t="s">
        <v>102</v>
      </c>
      <c r="K8" s="7" t="s">
        <v>29</v>
      </c>
      <c r="L8" s="7" t="s">
        <v>103</v>
      </c>
      <c r="M8" s="7" t="s">
        <v>104</v>
      </c>
      <c r="N8" s="7" t="s">
        <v>75</v>
      </c>
    </row>
    <row r="9" customFormat="false" ht="18" hidden="false" customHeight="true" outlineLevel="0" collapsed="false">
      <c r="A9" s="34" t="s">
        <v>131</v>
      </c>
      <c r="B9" s="34" t="s">
        <v>132</v>
      </c>
      <c r="C9" s="34" t="s">
        <v>107</v>
      </c>
      <c r="D9" s="34" t="s">
        <v>40</v>
      </c>
      <c r="E9" s="34" t="s">
        <v>32</v>
      </c>
      <c r="F9" s="35" t="s">
        <v>63</v>
      </c>
      <c r="G9" s="36" t="n">
        <v>3100000</v>
      </c>
      <c r="H9" s="36" t="n">
        <v>150000</v>
      </c>
      <c r="I9" s="36" t="n">
        <v>2950000</v>
      </c>
      <c r="J9" s="36" t="n">
        <v>1550000</v>
      </c>
      <c r="K9" s="36" t="n">
        <v>3100000</v>
      </c>
      <c r="L9" s="36" t="n">
        <v>3564999</v>
      </c>
      <c r="M9" s="36" t="n">
        <v>2635000</v>
      </c>
      <c r="N9" s="34"/>
    </row>
    <row r="10" customFormat="false" ht="18" hidden="false" customHeight="true" outlineLevel="0" collapsed="false">
      <c r="A10" s="37" t="s">
        <v>133</v>
      </c>
      <c r="B10" s="37" t="s">
        <v>134</v>
      </c>
      <c r="C10" s="37" t="s">
        <v>110</v>
      </c>
      <c r="D10" s="37" t="s">
        <v>40</v>
      </c>
      <c r="E10" s="37" t="s">
        <v>32</v>
      </c>
      <c r="F10" s="35" t="s">
        <v>63</v>
      </c>
      <c r="G10" s="39" t="n">
        <v>1200000</v>
      </c>
      <c r="H10" s="39" t="n">
        <v>80000</v>
      </c>
      <c r="I10" s="39" t="n">
        <v>1120000</v>
      </c>
      <c r="J10" s="39" t="n">
        <v>600000</v>
      </c>
      <c r="K10" s="39" t="n">
        <v>1200000</v>
      </c>
      <c r="L10" s="39" t="n">
        <v>1380000</v>
      </c>
      <c r="M10" s="39" t="n">
        <v>1020000</v>
      </c>
      <c r="N10" s="37"/>
    </row>
    <row r="11" customFormat="false" ht="18" hidden="false" customHeight="true" outlineLevel="0" collapsed="false">
      <c r="A11" s="34" t="s">
        <v>135</v>
      </c>
      <c r="B11" s="34" t="s">
        <v>136</v>
      </c>
      <c r="C11" s="34" t="s">
        <v>137</v>
      </c>
      <c r="D11" s="34" t="s">
        <v>40</v>
      </c>
      <c r="E11" s="34" t="s">
        <v>32</v>
      </c>
      <c r="F11" s="38" t="s">
        <v>64</v>
      </c>
      <c r="G11" s="36" t="n">
        <v>875000</v>
      </c>
      <c r="H11" s="36" t="n">
        <v>50000</v>
      </c>
      <c r="I11" s="36" t="n">
        <v>825000</v>
      </c>
      <c r="J11" s="36" t="n">
        <v>175000</v>
      </c>
      <c r="K11" s="36" t="n">
        <v>875000</v>
      </c>
      <c r="L11" s="36" t="n">
        <v>1006249</v>
      </c>
      <c r="M11" s="36" t="n">
        <v>743750</v>
      </c>
      <c r="N11" s="34"/>
    </row>
    <row r="12" customFormat="false" ht="19.5" hidden="false" customHeight="true" outlineLevel="0" collapsed="false">
      <c r="A12" s="16" t="s">
        <v>111</v>
      </c>
      <c r="B12" s="16"/>
      <c r="C12" s="16"/>
      <c r="D12" s="16"/>
      <c r="E12" s="16"/>
      <c r="F12" s="16"/>
      <c r="G12" s="17" t="n">
        <f aca="false">SUM(G9:G11)</f>
        <v>5175000</v>
      </c>
      <c r="H12" s="17" t="n">
        <f aca="false">SUM(H9:H11)</f>
        <v>280000</v>
      </c>
      <c r="I12" s="17" t="n">
        <f aca="false">SUM(I9:I11)</f>
        <v>4895000</v>
      </c>
      <c r="J12" s="17" t="n">
        <f aca="false">SUM(J9:J11)</f>
        <v>2325000</v>
      </c>
      <c r="K12" s="17" t="n">
        <f aca="false">SUM(K9:K11)</f>
        <v>5175000</v>
      </c>
      <c r="L12" s="17" t="n">
        <f aca="false">SUM(L9:L11)</f>
        <v>5951248</v>
      </c>
      <c r="M12" s="17" t="n">
        <f aca="false">SUM(M9:M11)</f>
        <v>4398750</v>
      </c>
    </row>
    <row r="14" customFormat="false" ht="21.75" hidden="false" customHeight="true" outlineLevel="0" collapsed="false">
      <c r="A14" s="40" t="s">
        <v>138</v>
      </c>
      <c r="B14" s="40"/>
      <c r="C14" s="40"/>
      <c r="D14" s="40"/>
      <c r="E14" s="40"/>
      <c r="F14" s="40"/>
      <c r="G14" s="40"/>
      <c r="H14" s="40"/>
    </row>
    <row r="15" customFormat="false" ht="31.5" hidden="false" customHeight="true" outlineLevel="0" collapsed="false">
      <c r="A15" s="41" t="s">
        <v>113</v>
      </c>
      <c r="B15" s="41" t="s">
        <v>114</v>
      </c>
      <c r="C15" s="41" t="s">
        <v>58</v>
      </c>
      <c r="D15" s="41" t="s">
        <v>115</v>
      </c>
      <c r="E15" s="41" t="s">
        <v>116</v>
      </c>
      <c r="F15" s="41" t="s">
        <v>17</v>
      </c>
      <c r="G15" s="41" t="s">
        <v>18</v>
      </c>
      <c r="H15" s="41" t="s">
        <v>117</v>
      </c>
    </row>
    <row r="16" customFormat="false" ht="19.5" hidden="false" customHeight="true" outlineLevel="0" collapsed="false">
      <c r="A16" s="42" t="s">
        <v>118</v>
      </c>
      <c r="B16" s="42" t="s">
        <v>119</v>
      </c>
      <c r="C16" s="43" t="n">
        <v>5951250</v>
      </c>
      <c r="D16" s="43" t="n">
        <v>776250</v>
      </c>
      <c r="E16" s="44" t="n">
        <v>0.15</v>
      </c>
      <c r="F16" s="43" t="n">
        <v>252000</v>
      </c>
      <c r="G16" s="43" t="n">
        <v>5699250</v>
      </c>
      <c r="H16" s="42" t="s">
        <v>120</v>
      </c>
    </row>
    <row r="17" customFormat="false" ht="19.5" hidden="false" customHeight="true" outlineLevel="0" collapsed="false">
      <c r="A17" s="34" t="s">
        <v>121</v>
      </c>
      <c r="B17" s="34" t="s">
        <v>122</v>
      </c>
      <c r="C17" s="36" t="n">
        <v>5175000</v>
      </c>
      <c r="D17" s="36" t="n">
        <v>0</v>
      </c>
      <c r="E17" s="45" t="n">
        <v>0</v>
      </c>
      <c r="F17" s="36" t="n">
        <v>280000</v>
      </c>
      <c r="G17" s="36" t="n">
        <v>4895000</v>
      </c>
      <c r="H17" s="34" t="s">
        <v>123</v>
      </c>
    </row>
    <row r="18" customFormat="false" ht="19.5" hidden="false" customHeight="true" outlineLevel="0" collapsed="false">
      <c r="A18" s="46" t="s">
        <v>124</v>
      </c>
      <c r="B18" s="46" t="s">
        <v>125</v>
      </c>
      <c r="C18" s="47" t="n">
        <v>3881250</v>
      </c>
      <c r="D18" s="47" t="n">
        <v>-1293750</v>
      </c>
      <c r="E18" s="48" t="n">
        <v>-0.25</v>
      </c>
      <c r="F18" s="47" t="n">
        <v>308000</v>
      </c>
      <c r="G18" s="47" t="n">
        <v>3573250</v>
      </c>
      <c r="H18" s="46" t="s">
        <v>126</v>
      </c>
    </row>
  </sheetData>
  <mergeCells count="21">
    <mergeCell ref="A1:N1"/>
    <mergeCell ref="A3:N3"/>
    <mergeCell ref="A4:B4"/>
    <mergeCell ref="C4:D4"/>
    <mergeCell ref="E4:F4"/>
    <mergeCell ref="G4:H4"/>
    <mergeCell ref="I4:J4"/>
    <mergeCell ref="K4:L4"/>
    <mergeCell ref="M4:N4"/>
    <mergeCell ref="O4:P4"/>
    <mergeCell ref="A5:B5"/>
    <mergeCell ref="C5:D5"/>
    <mergeCell ref="E5:F5"/>
    <mergeCell ref="G5:H5"/>
    <mergeCell ref="I5:J5"/>
    <mergeCell ref="K5:L5"/>
    <mergeCell ref="M5:N5"/>
    <mergeCell ref="O5:P5"/>
    <mergeCell ref="A7:N7"/>
    <mergeCell ref="A12:F12"/>
    <mergeCell ref="A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P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8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3" min="10" style="0" width="13"/>
    <col collapsed="false" customWidth="true" hidden="false" outlineLevel="0" max="14" min="14" style="0" width="22"/>
  </cols>
  <sheetData>
    <row r="1" customFormat="false" ht="31.5" hidden="false" customHeight="true" outlineLevel="0" collapsed="false">
      <c r="A1" s="31" t="s">
        <v>139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3" customFormat="false" ht="21.75" hidden="false" customHeight="true" outlineLevel="0" collapsed="false">
      <c r="A3" s="3" t="s">
        <v>140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8" hidden="false" customHeight="true" outlineLevel="0" collapsed="false">
      <c r="A4" s="4" t="s">
        <v>86</v>
      </c>
      <c r="B4" s="4"/>
      <c r="C4" s="4" t="s">
        <v>87</v>
      </c>
      <c r="D4" s="4"/>
      <c r="E4" s="4" t="s">
        <v>88</v>
      </c>
      <c r="F4" s="4"/>
      <c r="G4" s="4" t="s">
        <v>89</v>
      </c>
      <c r="H4" s="4"/>
      <c r="I4" s="4" t="s">
        <v>90</v>
      </c>
      <c r="J4" s="4"/>
      <c r="K4" s="4" t="s">
        <v>91</v>
      </c>
      <c r="L4" s="4"/>
      <c r="M4" s="4" t="s">
        <v>92</v>
      </c>
      <c r="N4" s="4"/>
      <c r="O4" s="4" t="s">
        <v>93</v>
      </c>
      <c r="P4" s="4"/>
    </row>
    <row r="5" customFormat="false" ht="30" hidden="false" customHeight="true" outlineLevel="0" collapsed="false">
      <c r="A5" s="32" t="s">
        <v>94</v>
      </c>
      <c r="B5" s="32"/>
      <c r="C5" s="5" t="n">
        <v>1330000</v>
      </c>
      <c r="D5" s="5"/>
      <c r="E5" s="5" t="n">
        <v>195000</v>
      </c>
      <c r="F5" s="5"/>
      <c r="G5" s="5" t="n">
        <v>1135000</v>
      </c>
      <c r="H5" s="5"/>
      <c r="I5" s="5" t="n">
        <v>627000</v>
      </c>
      <c r="J5" s="5"/>
      <c r="K5" s="5" t="n">
        <v>1330000</v>
      </c>
      <c r="L5" s="5"/>
      <c r="M5" s="5" t="n">
        <v>1529499</v>
      </c>
      <c r="N5" s="5"/>
      <c r="O5" s="5" t="n">
        <v>1130500</v>
      </c>
      <c r="P5" s="5"/>
    </row>
    <row r="7" customFormat="false" ht="21.75" hidden="false" customHeight="true" outlineLevel="0" collapsed="false">
      <c r="A7" s="33" t="s">
        <v>141</v>
      </c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</row>
    <row r="8" customFormat="false" ht="39.75" hidden="false" customHeight="true" outlineLevel="0" collapsed="false">
      <c r="A8" s="7" t="s">
        <v>96</v>
      </c>
      <c r="B8" s="7" t="s">
        <v>97</v>
      </c>
      <c r="C8" s="7" t="s">
        <v>12</v>
      </c>
      <c r="D8" s="7" t="s">
        <v>27</v>
      </c>
      <c r="E8" s="7" t="s">
        <v>98</v>
      </c>
      <c r="F8" s="7" t="s">
        <v>56</v>
      </c>
      <c r="G8" s="7" t="s">
        <v>99</v>
      </c>
      <c r="H8" s="7" t="s">
        <v>100</v>
      </c>
      <c r="I8" s="7" t="s">
        <v>101</v>
      </c>
      <c r="J8" s="7" t="s">
        <v>102</v>
      </c>
      <c r="K8" s="7" t="s">
        <v>29</v>
      </c>
      <c r="L8" s="7" t="s">
        <v>103</v>
      </c>
      <c r="M8" s="7" t="s">
        <v>104</v>
      </c>
      <c r="N8" s="7" t="s">
        <v>75</v>
      </c>
    </row>
    <row r="9" customFormat="false" ht="18" hidden="false" customHeight="true" outlineLevel="0" collapsed="false">
      <c r="A9" s="34" t="s">
        <v>142</v>
      </c>
      <c r="B9" s="34" t="s">
        <v>143</v>
      </c>
      <c r="C9" s="34" t="s">
        <v>137</v>
      </c>
      <c r="D9" s="34" t="s">
        <v>43</v>
      </c>
      <c r="E9" s="34" t="s">
        <v>36</v>
      </c>
      <c r="F9" s="35" t="s">
        <v>63</v>
      </c>
      <c r="G9" s="36" t="n">
        <v>950000</v>
      </c>
      <c r="H9" s="36" t="n">
        <v>75000</v>
      </c>
      <c r="I9" s="36" t="n">
        <v>875000</v>
      </c>
      <c r="J9" s="36" t="n">
        <v>475000</v>
      </c>
      <c r="K9" s="36" t="n">
        <v>950000</v>
      </c>
      <c r="L9" s="36" t="n">
        <v>1092500</v>
      </c>
      <c r="M9" s="36" t="n">
        <v>807500</v>
      </c>
      <c r="N9" s="34"/>
    </row>
    <row r="10" customFormat="false" ht="18" hidden="false" customHeight="true" outlineLevel="0" collapsed="false">
      <c r="A10" s="37" t="s">
        <v>144</v>
      </c>
      <c r="B10" s="37" t="s">
        <v>145</v>
      </c>
      <c r="C10" s="37" t="s">
        <v>107</v>
      </c>
      <c r="D10" s="37" t="s">
        <v>43</v>
      </c>
      <c r="E10" s="37" t="s">
        <v>36</v>
      </c>
      <c r="F10" s="35" t="s">
        <v>63</v>
      </c>
      <c r="G10" s="39" t="n">
        <v>380000</v>
      </c>
      <c r="H10" s="39" t="n">
        <v>120000</v>
      </c>
      <c r="I10" s="39" t="n">
        <v>260000</v>
      </c>
      <c r="J10" s="39" t="n">
        <v>152000</v>
      </c>
      <c r="K10" s="39" t="n">
        <v>380000</v>
      </c>
      <c r="L10" s="39" t="n">
        <v>436999</v>
      </c>
      <c r="M10" s="39" t="n">
        <v>323000</v>
      </c>
      <c r="N10" s="37"/>
    </row>
    <row r="11" customFormat="false" ht="19.5" hidden="false" customHeight="true" outlineLevel="0" collapsed="false">
      <c r="A11" s="16" t="s">
        <v>111</v>
      </c>
      <c r="B11" s="16"/>
      <c r="C11" s="16"/>
      <c r="D11" s="16"/>
      <c r="E11" s="16"/>
      <c r="F11" s="16"/>
      <c r="G11" s="17" t="n">
        <f aca="false">SUM(G9:G10)</f>
        <v>1330000</v>
      </c>
      <c r="H11" s="17" t="n">
        <f aca="false">SUM(H9:H10)</f>
        <v>195000</v>
      </c>
      <c r="I11" s="17" t="n">
        <f aca="false">SUM(I9:I10)</f>
        <v>1135000</v>
      </c>
      <c r="J11" s="17" t="n">
        <f aca="false">SUM(J9:J10)</f>
        <v>627000</v>
      </c>
      <c r="K11" s="17" t="n">
        <f aca="false">SUM(K9:K10)</f>
        <v>1330000</v>
      </c>
      <c r="L11" s="17" t="n">
        <f aca="false">SUM(L9:L10)</f>
        <v>1529499</v>
      </c>
      <c r="M11" s="17" t="n">
        <f aca="false">SUM(M9:M10)</f>
        <v>1130500</v>
      </c>
    </row>
    <row r="13" customFormat="false" ht="21.75" hidden="false" customHeight="true" outlineLevel="0" collapsed="false">
      <c r="A13" s="40" t="s">
        <v>146</v>
      </c>
      <c r="B13" s="40"/>
      <c r="C13" s="40"/>
      <c r="D13" s="40"/>
      <c r="E13" s="40"/>
      <c r="F13" s="40"/>
      <c r="G13" s="40"/>
      <c r="H13" s="40"/>
    </row>
    <row r="14" customFormat="false" ht="31.5" hidden="false" customHeight="true" outlineLevel="0" collapsed="false">
      <c r="A14" s="41" t="s">
        <v>113</v>
      </c>
      <c r="B14" s="41" t="s">
        <v>114</v>
      </c>
      <c r="C14" s="41" t="s">
        <v>58</v>
      </c>
      <c r="D14" s="41" t="s">
        <v>115</v>
      </c>
      <c r="E14" s="41" t="s">
        <v>116</v>
      </c>
      <c r="F14" s="41" t="s">
        <v>17</v>
      </c>
      <c r="G14" s="41" t="s">
        <v>18</v>
      </c>
      <c r="H14" s="41" t="s">
        <v>117</v>
      </c>
    </row>
    <row r="15" customFormat="false" ht="19.5" hidden="false" customHeight="true" outlineLevel="0" collapsed="false">
      <c r="A15" s="42" t="s">
        <v>118</v>
      </c>
      <c r="B15" s="42" t="s">
        <v>119</v>
      </c>
      <c r="C15" s="43" t="n">
        <v>1529499</v>
      </c>
      <c r="D15" s="43" t="n">
        <v>199499</v>
      </c>
      <c r="E15" s="44" t="n">
        <v>0.149999248120301</v>
      </c>
      <c r="F15" s="43" t="n">
        <v>175500</v>
      </c>
      <c r="G15" s="43" t="n">
        <v>1353999</v>
      </c>
      <c r="H15" s="42" t="s">
        <v>120</v>
      </c>
    </row>
    <row r="16" customFormat="false" ht="19.5" hidden="false" customHeight="true" outlineLevel="0" collapsed="false">
      <c r="A16" s="34" t="s">
        <v>121</v>
      </c>
      <c r="B16" s="34" t="s">
        <v>122</v>
      </c>
      <c r="C16" s="36" t="n">
        <v>1330000</v>
      </c>
      <c r="D16" s="36" t="n">
        <v>0</v>
      </c>
      <c r="E16" s="45" t="n">
        <v>0</v>
      </c>
      <c r="F16" s="36" t="n">
        <v>195000</v>
      </c>
      <c r="G16" s="36" t="n">
        <v>1135000</v>
      </c>
      <c r="H16" s="34" t="s">
        <v>123</v>
      </c>
    </row>
    <row r="17" customFormat="false" ht="19.5" hidden="false" customHeight="true" outlineLevel="0" collapsed="false">
      <c r="A17" s="46" t="s">
        <v>124</v>
      </c>
      <c r="B17" s="46" t="s">
        <v>125</v>
      </c>
      <c r="C17" s="47" t="n">
        <v>997500</v>
      </c>
      <c r="D17" s="47" t="n">
        <v>-332500</v>
      </c>
      <c r="E17" s="48" t="n">
        <v>-0.25</v>
      </c>
      <c r="F17" s="47" t="n">
        <v>214500</v>
      </c>
      <c r="G17" s="47" t="n">
        <v>783000</v>
      </c>
      <c r="H17" s="46" t="s">
        <v>126</v>
      </c>
    </row>
  </sheetData>
  <mergeCells count="21">
    <mergeCell ref="A1:N1"/>
    <mergeCell ref="A3:N3"/>
    <mergeCell ref="A4:B4"/>
    <mergeCell ref="C4:D4"/>
    <mergeCell ref="E4:F4"/>
    <mergeCell ref="G4:H4"/>
    <mergeCell ref="I4:J4"/>
    <mergeCell ref="K4:L4"/>
    <mergeCell ref="M4:N4"/>
    <mergeCell ref="O4:P4"/>
    <mergeCell ref="A5:B5"/>
    <mergeCell ref="C5:D5"/>
    <mergeCell ref="E5:F5"/>
    <mergeCell ref="G5:H5"/>
    <mergeCell ref="I5:J5"/>
    <mergeCell ref="K5:L5"/>
    <mergeCell ref="M5:N5"/>
    <mergeCell ref="O5:P5"/>
    <mergeCell ref="A7:N7"/>
    <mergeCell ref="A11:F11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B75"/>
    <pageSetUpPr fitToPage="false"/>
  </sheetPr>
  <dimension ref="A1:P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8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3" min="10" style="0" width="13"/>
    <col collapsed="false" customWidth="true" hidden="false" outlineLevel="0" max="14" min="14" style="0" width="22"/>
  </cols>
  <sheetData>
    <row r="1" customFormat="false" ht="31.5" hidden="false" customHeight="true" outlineLevel="0" collapsed="false">
      <c r="A1" s="31" t="s">
        <v>147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3" customFormat="false" ht="21.75" hidden="false" customHeight="true" outlineLevel="0" collapsed="false">
      <c r="A3" s="3" t="s">
        <v>148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8" hidden="false" customHeight="true" outlineLevel="0" collapsed="false">
      <c r="A4" s="4" t="s">
        <v>86</v>
      </c>
      <c r="B4" s="4"/>
      <c r="C4" s="4" t="s">
        <v>87</v>
      </c>
      <c r="D4" s="4"/>
      <c r="E4" s="4" t="s">
        <v>88</v>
      </c>
      <c r="F4" s="4"/>
      <c r="G4" s="4" t="s">
        <v>89</v>
      </c>
      <c r="H4" s="4"/>
      <c r="I4" s="4" t="s">
        <v>90</v>
      </c>
      <c r="J4" s="4"/>
      <c r="K4" s="4" t="s">
        <v>91</v>
      </c>
      <c r="L4" s="4"/>
      <c r="M4" s="4" t="s">
        <v>92</v>
      </c>
      <c r="N4" s="4"/>
      <c r="O4" s="4" t="s">
        <v>93</v>
      </c>
      <c r="P4" s="4"/>
    </row>
    <row r="5" customFormat="false" ht="30" hidden="false" customHeight="true" outlineLevel="0" collapsed="false">
      <c r="A5" s="32" t="s">
        <v>129</v>
      </c>
      <c r="B5" s="32"/>
      <c r="C5" s="5" t="n">
        <v>4620000</v>
      </c>
      <c r="D5" s="5"/>
      <c r="E5" s="5" t="n">
        <v>2430000</v>
      </c>
      <c r="F5" s="5"/>
      <c r="G5" s="5" t="n">
        <v>2190000</v>
      </c>
      <c r="H5" s="5"/>
      <c r="I5" s="5" t="n">
        <v>1470000</v>
      </c>
      <c r="J5" s="5"/>
      <c r="K5" s="5" t="n">
        <v>4620000</v>
      </c>
      <c r="L5" s="5"/>
      <c r="M5" s="5" t="n">
        <v>5312997</v>
      </c>
      <c r="N5" s="5"/>
      <c r="O5" s="5" t="n">
        <v>3927000</v>
      </c>
      <c r="P5" s="5"/>
    </row>
    <row r="7" customFormat="false" ht="21.75" hidden="false" customHeight="true" outlineLevel="0" collapsed="false">
      <c r="A7" s="33" t="s">
        <v>149</v>
      </c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</row>
    <row r="8" customFormat="false" ht="39.75" hidden="false" customHeight="true" outlineLevel="0" collapsed="false">
      <c r="A8" s="7" t="s">
        <v>96</v>
      </c>
      <c r="B8" s="7" t="s">
        <v>97</v>
      </c>
      <c r="C8" s="7" t="s">
        <v>12</v>
      </c>
      <c r="D8" s="7" t="s">
        <v>27</v>
      </c>
      <c r="E8" s="7" t="s">
        <v>98</v>
      </c>
      <c r="F8" s="7" t="s">
        <v>56</v>
      </c>
      <c r="G8" s="7" t="s">
        <v>99</v>
      </c>
      <c r="H8" s="7" t="s">
        <v>100</v>
      </c>
      <c r="I8" s="7" t="s">
        <v>101</v>
      </c>
      <c r="J8" s="7" t="s">
        <v>102</v>
      </c>
      <c r="K8" s="7" t="s">
        <v>29</v>
      </c>
      <c r="L8" s="7" t="s">
        <v>103</v>
      </c>
      <c r="M8" s="7" t="s">
        <v>104</v>
      </c>
      <c r="N8" s="7" t="s">
        <v>75</v>
      </c>
    </row>
    <row r="9" customFormat="false" ht="18" hidden="false" customHeight="true" outlineLevel="0" collapsed="false">
      <c r="A9" s="34" t="s">
        <v>150</v>
      </c>
      <c r="B9" s="34" t="s">
        <v>151</v>
      </c>
      <c r="C9" s="34" t="s">
        <v>110</v>
      </c>
      <c r="D9" s="34" t="s">
        <v>47</v>
      </c>
      <c r="E9" s="34" t="s">
        <v>36</v>
      </c>
      <c r="F9" s="38" t="s">
        <v>64</v>
      </c>
      <c r="G9" s="36" t="n">
        <v>1400000</v>
      </c>
      <c r="H9" s="36" t="n">
        <v>2200000</v>
      </c>
      <c r="I9" s="36" t="n">
        <v>-800000</v>
      </c>
      <c r="J9" s="36" t="n">
        <v>140000</v>
      </c>
      <c r="K9" s="36" t="n">
        <v>1400000</v>
      </c>
      <c r="L9" s="36" t="n">
        <v>1609999</v>
      </c>
      <c r="M9" s="36" t="n">
        <v>1190000</v>
      </c>
      <c r="N9" s="34"/>
    </row>
    <row r="10" customFormat="false" ht="18" hidden="false" customHeight="true" outlineLevel="0" collapsed="false">
      <c r="A10" s="37" t="s">
        <v>152</v>
      </c>
      <c r="B10" s="37" t="s">
        <v>153</v>
      </c>
      <c r="C10" s="37" t="s">
        <v>137</v>
      </c>
      <c r="D10" s="37" t="s">
        <v>47</v>
      </c>
      <c r="E10" s="37" t="s">
        <v>36</v>
      </c>
      <c r="F10" s="35" t="s">
        <v>63</v>
      </c>
      <c r="G10" s="39" t="n">
        <v>420000</v>
      </c>
      <c r="H10" s="39" t="n">
        <v>30000</v>
      </c>
      <c r="I10" s="39" t="n">
        <v>390000</v>
      </c>
      <c r="J10" s="39" t="n">
        <v>210000</v>
      </c>
      <c r="K10" s="39" t="n">
        <v>420000</v>
      </c>
      <c r="L10" s="39" t="n">
        <v>482999</v>
      </c>
      <c r="M10" s="39" t="n">
        <v>357000</v>
      </c>
      <c r="N10" s="37"/>
    </row>
    <row r="11" customFormat="false" ht="18" hidden="false" customHeight="true" outlineLevel="0" collapsed="false">
      <c r="A11" s="34" t="s">
        <v>154</v>
      </c>
      <c r="B11" s="34" t="s">
        <v>155</v>
      </c>
      <c r="C11" s="34" t="s">
        <v>107</v>
      </c>
      <c r="D11" s="34" t="s">
        <v>50</v>
      </c>
      <c r="E11" s="34" t="s">
        <v>156</v>
      </c>
      <c r="F11" s="35" t="s">
        <v>63</v>
      </c>
      <c r="G11" s="36" t="n">
        <v>2800000</v>
      </c>
      <c r="H11" s="36" t="n">
        <v>200000</v>
      </c>
      <c r="I11" s="36" t="n">
        <v>2600000</v>
      </c>
      <c r="J11" s="36" t="n">
        <v>1120000</v>
      </c>
      <c r="K11" s="36" t="n">
        <v>2800000</v>
      </c>
      <c r="L11" s="36" t="n">
        <v>3219999</v>
      </c>
      <c r="M11" s="36" t="n">
        <v>2380000</v>
      </c>
      <c r="N11" s="34"/>
    </row>
    <row r="12" customFormat="false" ht="19.5" hidden="false" customHeight="true" outlineLevel="0" collapsed="false">
      <c r="A12" s="16" t="s">
        <v>111</v>
      </c>
      <c r="B12" s="16"/>
      <c r="C12" s="16"/>
      <c r="D12" s="16"/>
      <c r="E12" s="16"/>
      <c r="F12" s="16"/>
      <c r="G12" s="17" t="n">
        <f aca="false">SUM(G9:G11)</f>
        <v>4620000</v>
      </c>
      <c r="H12" s="17" t="n">
        <f aca="false">SUM(H9:H11)</f>
        <v>2430000</v>
      </c>
      <c r="I12" s="17" t="n">
        <f aca="false">SUM(I9:I11)</f>
        <v>2190000</v>
      </c>
      <c r="J12" s="17" t="n">
        <f aca="false">SUM(J9:J11)</f>
        <v>1470000</v>
      </c>
      <c r="K12" s="17" t="n">
        <f aca="false">SUM(K9:K11)</f>
        <v>4620000</v>
      </c>
      <c r="L12" s="17" t="n">
        <f aca="false">SUM(L9:L11)</f>
        <v>5312997</v>
      </c>
      <c r="M12" s="17" t="n">
        <f aca="false">SUM(M9:M11)</f>
        <v>3927000</v>
      </c>
    </row>
    <row r="14" customFormat="false" ht="21.75" hidden="false" customHeight="true" outlineLevel="0" collapsed="false">
      <c r="A14" s="40" t="s">
        <v>157</v>
      </c>
      <c r="B14" s="40"/>
      <c r="C14" s="40"/>
      <c r="D14" s="40"/>
      <c r="E14" s="40"/>
      <c r="F14" s="40"/>
      <c r="G14" s="40"/>
      <c r="H14" s="40"/>
    </row>
    <row r="15" customFormat="false" ht="31.5" hidden="false" customHeight="true" outlineLevel="0" collapsed="false">
      <c r="A15" s="41" t="s">
        <v>113</v>
      </c>
      <c r="B15" s="41" t="s">
        <v>114</v>
      </c>
      <c r="C15" s="41" t="s">
        <v>58</v>
      </c>
      <c r="D15" s="41" t="s">
        <v>115</v>
      </c>
      <c r="E15" s="41" t="s">
        <v>116</v>
      </c>
      <c r="F15" s="41" t="s">
        <v>17</v>
      </c>
      <c r="G15" s="41" t="s">
        <v>18</v>
      </c>
      <c r="H15" s="41" t="s">
        <v>117</v>
      </c>
    </row>
    <row r="16" customFormat="false" ht="19.5" hidden="false" customHeight="true" outlineLevel="0" collapsed="false">
      <c r="A16" s="42" t="s">
        <v>118</v>
      </c>
      <c r="B16" s="42" t="s">
        <v>119</v>
      </c>
      <c r="C16" s="43" t="n">
        <v>5313000</v>
      </c>
      <c r="D16" s="43" t="n">
        <v>693000</v>
      </c>
      <c r="E16" s="44" t="n">
        <v>0.15</v>
      </c>
      <c r="F16" s="43" t="n">
        <v>2187000</v>
      </c>
      <c r="G16" s="43" t="n">
        <v>3126000</v>
      </c>
      <c r="H16" s="42" t="s">
        <v>120</v>
      </c>
    </row>
    <row r="17" customFormat="false" ht="19.5" hidden="false" customHeight="true" outlineLevel="0" collapsed="false">
      <c r="A17" s="34" t="s">
        <v>121</v>
      </c>
      <c r="B17" s="34" t="s">
        <v>122</v>
      </c>
      <c r="C17" s="36" t="n">
        <v>4620000</v>
      </c>
      <c r="D17" s="36" t="n">
        <v>0</v>
      </c>
      <c r="E17" s="45" t="n">
        <v>0</v>
      </c>
      <c r="F17" s="36" t="n">
        <v>2430000</v>
      </c>
      <c r="G17" s="36" t="n">
        <v>2190000</v>
      </c>
      <c r="H17" s="34" t="s">
        <v>123</v>
      </c>
    </row>
    <row r="18" customFormat="false" ht="19.5" hidden="false" customHeight="true" outlineLevel="0" collapsed="false">
      <c r="A18" s="46" t="s">
        <v>124</v>
      </c>
      <c r="B18" s="46" t="s">
        <v>125</v>
      </c>
      <c r="C18" s="47" t="n">
        <v>3465000</v>
      </c>
      <c r="D18" s="47" t="n">
        <v>-1155000</v>
      </c>
      <c r="E18" s="48" t="n">
        <v>-0.25</v>
      </c>
      <c r="F18" s="47" t="n">
        <v>2673000</v>
      </c>
      <c r="G18" s="47" t="n">
        <v>792000</v>
      </c>
      <c r="H18" s="46" t="s">
        <v>126</v>
      </c>
    </row>
  </sheetData>
  <mergeCells count="21">
    <mergeCell ref="A1:N1"/>
    <mergeCell ref="A3:N3"/>
    <mergeCell ref="A4:B4"/>
    <mergeCell ref="C4:D4"/>
    <mergeCell ref="E4:F4"/>
    <mergeCell ref="G4:H4"/>
    <mergeCell ref="I4:J4"/>
    <mergeCell ref="K4:L4"/>
    <mergeCell ref="M4:N4"/>
    <mergeCell ref="O4:P4"/>
    <mergeCell ref="A5:B5"/>
    <mergeCell ref="C5:D5"/>
    <mergeCell ref="E5:F5"/>
    <mergeCell ref="G5:H5"/>
    <mergeCell ref="I5:J5"/>
    <mergeCell ref="K5:L5"/>
    <mergeCell ref="M5:N5"/>
    <mergeCell ref="O5:P5"/>
    <mergeCell ref="A7:N7"/>
    <mergeCell ref="A12:F12"/>
    <mergeCell ref="A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P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8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3" min="10" style="0" width="13"/>
    <col collapsed="false" customWidth="true" hidden="false" outlineLevel="0" max="14" min="14" style="0" width="22"/>
  </cols>
  <sheetData>
    <row r="1" customFormat="false" ht="31.5" hidden="false" customHeight="true" outlineLevel="0" collapsed="false">
      <c r="A1" s="31" t="s">
        <v>158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3" customFormat="false" ht="21.75" hidden="false" customHeight="true" outlineLevel="0" collapsed="false">
      <c r="A3" s="3" t="s">
        <v>159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8" hidden="false" customHeight="true" outlineLevel="0" collapsed="false">
      <c r="A4" s="4" t="s">
        <v>86</v>
      </c>
      <c r="B4" s="4"/>
      <c r="C4" s="4" t="s">
        <v>87</v>
      </c>
      <c r="D4" s="4"/>
      <c r="E4" s="4" t="s">
        <v>88</v>
      </c>
      <c r="F4" s="4"/>
      <c r="G4" s="4" t="s">
        <v>89</v>
      </c>
      <c r="H4" s="4"/>
      <c r="I4" s="4" t="s">
        <v>90</v>
      </c>
      <c r="J4" s="4"/>
      <c r="K4" s="4" t="s">
        <v>91</v>
      </c>
      <c r="L4" s="4"/>
      <c r="M4" s="4" t="s">
        <v>92</v>
      </c>
      <c r="N4" s="4"/>
      <c r="O4" s="4" t="s">
        <v>93</v>
      </c>
      <c r="P4" s="4"/>
    </row>
    <row r="5" customFormat="false" ht="30" hidden="false" customHeight="true" outlineLevel="0" collapsed="false">
      <c r="A5" s="32" t="s">
        <v>94</v>
      </c>
      <c r="B5" s="32"/>
      <c r="C5" s="5" t="n">
        <v>1100000</v>
      </c>
      <c r="D5" s="5"/>
      <c r="E5" s="5" t="n">
        <v>160000</v>
      </c>
      <c r="F5" s="5"/>
      <c r="G5" s="5" t="n">
        <v>940000</v>
      </c>
      <c r="H5" s="5"/>
      <c r="I5" s="5" t="n">
        <v>406000</v>
      </c>
      <c r="J5" s="5"/>
      <c r="K5" s="5" t="n">
        <v>1100000</v>
      </c>
      <c r="L5" s="5"/>
      <c r="M5" s="5" t="n">
        <v>1265000</v>
      </c>
      <c r="N5" s="5"/>
      <c r="O5" s="5" t="n">
        <v>935000</v>
      </c>
      <c r="P5" s="5"/>
    </row>
    <row r="7" customFormat="false" ht="21.75" hidden="false" customHeight="true" outlineLevel="0" collapsed="false">
      <c r="A7" s="33" t="s">
        <v>160</v>
      </c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</row>
    <row r="8" customFormat="false" ht="39.75" hidden="false" customHeight="true" outlineLevel="0" collapsed="false">
      <c r="A8" s="7" t="s">
        <v>96</v>
      </c>
      <c r="B8" s="7" t="s">
        <v>97</v>
      </c>
      <c r="C8" s="7" t="s">
        <v>12</v>
      </c>
      <c r="D8" s="7" t="s">
        <v>27</v>
      </c>
      <c r="E8" s="7" t="s">
        <v>98</v>
      </c>
      <c r="F8" s="7" t="s">
        <v>56</v>
      </c>
      <c r="G8" s="7" t="s">
        <v>99</v>
      </c>
      <c r="H8" s="7" t="s">
        <v>100</v>
      </c>
      <c r="I8" s="7" t="s">
        <v>101</v>
      </c>
      <c r="J8" s="7" t="s">
        <v>102</v>
      </c>
      <c r="K8" s="7" t="s">
        <v>29</v>
      </c>
      <c r="L8" s="7" t="s">
        <v>103</v>
      </c>
      <c r="M8" s="7" t="s">
        <v>104</v>
      </c>
      <c r="N8" s="7" t="s">
        <v>75</v>
      </c>
    </row>
    <row r="9" customFormat="false" ht="18" hidden="false" customHeight="true" outlineLevel="0" collapsed="false">
      <c r="A9" s="34" t="s">
        <v>161</v>
      </c>
      <c r="B9" s="34" t="s">
        <v>162</v>
      </c>
      <c r="C9" s="34" t="s">
        <v>107</v>
      </c>
      <c r="D9" s="34" t="s">
        <v>37</v>
      </c>
      <c r="E9" s="34" t="s">
        <v>32</v>
      </c>
      <c r="F9" s="35" t="s">
        <v>63</v>
      </c>
      <c r="G9" s="36" t="n">
        <v>620000</v>
      </c>
      <c r="H9" s="36" t="n">
        <v>40000</v>
      </c>
      <c r="I9" s="36" t="n">
        <v>580000</v>
      </c>
      <c r="J9" s="36" t="n">
        <v>310000</v>
      </c>
      <c r="K9" s="36" t="n">
        <v>620000</v>
      </c>
      <c r="L9" s="36" t="n">
        <v>713000</v>
      </c>
      <c r="M9" s="36" t="n">
        <v>527000</v>
      </c>
      <c r="N9" s="34"/>
    </row>
    <row r="10" customFormat="false" ht="18" hidden="false" customHeight="true" outlineLevel="0" collapsed="false">
      <c r="A10" s="37" t="s">
        <v>163</v>
      </c>
      <c r="B10" s="37" t="s">
        <v>164</v>
      </c>
      <c r="C10" s="37" t="s">
        <v>110</v>
      </c>
      <c r="D10" s="37" t="s">
        <v>37</v>
      </c>
      <c r="E10" s="37" t="s">
        <v>32</v>
      </c>
      <c r="F10" s="38" t="s">
        <v>64</v>
      </c>
      <c r="G10" s="39" t="n">
        <v>480000</v>
      </c>
      <c r="H10" s="39" t="n">
        <v>120000</v>
      </c>
      <c r="I10" s="39" t="n">
        <v>360000</v>
      </c>
      <c r="J10" s="39" t="n">
        <v>96000</v>
      </c>
      <c r="K10" s="39" t="n">
        <v>480000</v>
      </c>
      <c r="L10" s="39" t="n">
        <v>552000</v>
      </c>
      <c r="M10" s="39" t="n">
        <v>408000</v>
      </c>
      <c r="N10" s="37"/>
    </row>
    <row r="11" customFormat="false" ht="19.5" hidden="false" customHeight="true" outlineLevel="0" collapsed="false">
      <c r="A11" s="16" t="s">
        <v>111</v>
      </c>
      <c r="B11" s="16"/>
      <c r="C11" s="16"/>
      <c r="D11" s="16"/>
      <c r="E11" s="16"/>
      <c r="F11" s="16"/>
      <c r="G11" s="17" t="n">
        <f aca="false">SUM(G9:G10)</f>
        <v>1100000</v>
      </c>
      <c r="H11" s="17" t="n">
        <f aca="false">SUM(H9:H10)</f>
        <v>160000</v>
      </c>
      <c r="I11" s="17" t="n">
        <f aca="false">SUM(I9:I10)</f>
        <v>940000</v>
      </c>
      <c r="J11" s="17" t="n">
        <f aca="false">SUM(J9:J10)</f>
        <v>406000</v>
      </c>
      <c r="K11" s="17" t="n">
        <f aca="false">SUM(K9:K10)</f>
        <v>1100000</v>
      </c>
      <c r="L11" s="17" t="n">
        <f aca="false">SUM(L9:L10)</f>
        <v>1265000</v>
      </c>
      <c r="M11" s="17" t="n">
        <f aca="false">SUM(M9:M10)</f>
        <v>935000</v>
      </c>
    </row>
    <row r="13" customFormat="false" ht="21.75" hidden="false" customHeight="true" outlineLevel="0" collapsed="false">
      <c r="A13" s="40" t="s">
        <v>165</v>
      </c>
      <c r="B13" s="40"/>
      <c r="C13" s="40"/>
      <c r="D13" s="40"/>
      <c r="E13" s="40"/>
      <c r="F13" s="40"/>
      <c r="G13" s="40"/>
      <c r="H13" s="40"/>
    </row>
    <row r="14" customFormat="false" ht="31.5" hidden="false" customHeight="true" outlineLevel="0" collapsed="false">
      <c r="A14" s="41" t="s">
        <v>113</v>
      </c>
      <c r="B14" s="41" t="s">
        <v>114</v>
      </c>
      <c r="C14" s="41" t="s">
        <v>58</v>
      </c>
      <c r="D14" s="41" t="s">
        <v>115</v>
      </c>
      <c r="E14" s="41" t="s">
        <v>116</v>
      </c>
      <c r="F14" s="41" t="s">
        <v>17</v>
      </c>
      <c r="G14" s="41" t="s">
        <v>18</v>
      </c>
      <c r="H14" s="41" t="s">
        <v>117</v>
      </c>
    </row>
    <row r="15" customFormat="false" ht="19.5" hidden="false" customHeight="true" outlineLevel="0" collapsed="false">
      <c r="A15" s="42" t="s">
        <v>118</v>
      </c>
      <c r="B15" s="42" t="s">
        <v>119</v>
      </c>
      <c r="C15" s="43" t="n">
        <v>1265000</v>
      </c>
      <c r="D15" s="43" t="n">
        <v>165000</v>
      </c>
      <c r="E15" s="44" t="n">
        <v>0.15</v>
      </c>
      <c r="F15" s="43" t="n">
        <v>144000</v>
      </c>
      <c r="G15" s="43" t="n">
        <v>1121000</v>
      </c>
      <c r="H15" s="42" t="s">
        <v>120</v>
      </c>
    </row>
    <row r="16" customFormat="false" ht="19.5" hidden="false" customHeight="true" outlineLevel="0" collapsed="false">
      <c r="A16" s="34" t="s">
        <v>121</v>
      </c>
      <c r="B16" s="34" t="s">
        <v>122</v>
      </c>
      <c r="C16" s="36" t="n">
        <v>1100000</v>
      </c>
      <c r="D16" s="36" t="n">
        <v>0</v>
      </c>
      <c r="E16" s="45" t="n">
        <v>0</v>
      </c>
      <c r="F16" s="36" t="n">
        <v>160000</v>
      </c>
      <c r="G16" s="36" t="n">
        <v>940000</v>
      </c>
      <c r="H16" s="34" t="s">
        <v>123</v>
      </c>
    </row>
    <row r="17" customFormat="false" ht="19.5" hidden="false" customHeight="true" outlineLevel="0" collapsed="false">
      <c r="A17" s="46" t="s">
        <v>124</v>
      </c>
      <c r="B17" s="46" t="s">
        <v>125</v>
      </c>
      <c r="C17" s="47" t="n">
        <v>825000</v>
      </c>
      <c r="D17" s="47" t="n">
        <v>-275000</v>
      </c>
      <c r="E17" s="48" t="n">
        <v>-0.25</v>
      </c>
      <c r="F17" s="47" t="n">
        <v>176000</v>
      </c>
      <c r="G17" s="47" t="n">
        <v>649000</v>
      </c>
      <c r="H17" s="46" t="s">
        <v>126</v>
      </c>
    </row>
  </sheetData>
  <mergeCells count="21">
    <mergeCell ref="A1:N1"/>
    <mergeCell ref="A3:N3"/>
    <mergeCell ref="A4:B4"/>
    <mergeCell ref="C4:D4"/>
    <mergeCell ref="E4:F4"/>
    <mergeCell ref="G4:H4"/>
    <mergeCell ref="I4:J4"/>
    <mergeCell ref="K4:L4"/>
    <mergeCell ref="M4:N4"/>
    <mergeCell ref="O4:P4"/>
    <mergeCell ref="A5:B5"/>
    <mergeCell ref="C5:D5"/>
    <mergeCell ref="E5:F5"/>
    <mergeCell ref="G5:H5"/>
    <mergeCell ref="I5:J5"/>
    <mergeCell ref="K5:L5"/>
    <mergeCell ref="M5:N5"/>
    <mergeCell ref="O5:P5"/>
    <mergeCell ref="A7:N7"/>
    <mergeCell ref="A11:F11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8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3" min="10" style="0" width="13"/>
    <col collapsed="false" customWidth="true" hidden="false" outlineLevel="0" max="14" min="14" style="0" width="22"/>
  </cols>
  <sheetData>
    <row r="1" customFormat="false" ht="31.5" hidden="false" customHeight="true" outlineLevel="0" collapsed="false">
      <c r="A1" s="31" t="s">
        <v>166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3" customFormat="false" ht="21.75" hidden="false" customHeight="true" outlineLevel="0" collapsed="false">
      <c r="A3" s="3" t="s">
        <v>167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8" hidden="false" customHeight="true" outlineLevel="0" collapsed="false">
      <c r="A4" s="4" t="s">
        <v>86</v>
      </c>
      <c r="B4" s="4"/>
      <c r="C4" s="4" t="s">
        <v>87</v>
      </c>
      <c r="D4" s="4"/>
      <c r="E4" s="4" t="s">
        <v>88</v>
      </c>
      <c r="F4" s="4"/>
      <c r="G4" s="4" t="s">
        <v>89</v>
      </c>
      <c r="H4" s="4"/>
      <c r="I4" s="4" t="s">
        <v>90</v>
      </c>
      <c r="J4" s="4"/>
      <c r="K4" s="4" t="s">
        <v>91</v>
      </c>
      <c r="L4" s="4"/>
      <c r="M4" s="4" t="s">
        <v>92</v>
      </c>
      <c r="N4" s="4"/>
      <c r="O4" s="4" t="s">
        <v>93</v>
      </c>
      <c r="P4" s="4"/>
    </row>
    <row r="5" customFormat="false" ht="30" hidden="false" customHeight="true" outlineLevel="0" collapsed="false">
      <c r="A5" s="32" t="s">
        <v>94</v>
      </c>
      <c r="B5" s="32"/>
      <c r="C5" s="5" t="n">
        <v>1860000</v>
      </c>
      <c r="D5" s="5"/>
      <c r="E5" s="5" t="n">
        <v>180000</v>
      </c>
      <c r="F5" s="5"/>
      <c r="G5" s="5" t="n">
        <v>1680000</v>
      </c>
      <c r="H5" s="5"/>
      <c r="I5" s="5" t="n">
        <v>1480000</v>
      </c>
      <c r="J5" s="5"/>
      <c r="K5" s="5" t="n">
        <v>1860000</v>
      </c>
      <c r="L5" s="5"/>
      <c r="M5" s="5" t="n">
        <v>2138999</v>
      </c>
      <c r="N5" s="5"/>
      <c r="O5" s="5" t="n">
        <v>1581000</v>
      </c>
      <c r="P5" s="5"/>
    </row>
    <row r="7" customFormat="false" ht="21.75" hidden="false" customHeight="true" outlineLevel="0" collapsed="false">
      <c r="A7" s="33" t="s">
        <v>168</v>
      </c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</row>
    <row r="8" customFormat="false" ht="39.75" hidden="false" customHeight="true" outlineLevel="0" collapsed="false">
      <c r="A8" s="7" t="s">
        <v>96</v>
      </c>
      <c r="B8" s="7" t="s">
        <v>97</v>
      </c>
      <c r="C8" s="7" t="s">
        <v>12</v>
      </c>
      <c r="D8" s="7" t="s">
        <v>27</v>
      </c>
      <c r="E8" s="7" t="s">
        <v>98</v>
      </c>
      <c r="F8" s="7" t="s">
        <v>56</v>
      </c>
      <c r="G8" s="7" t="s">
        <v>99</v>
      </c>
      <c r="H8" s="7" t="s">
        <v>100</v>
      </c>
      <c r="I8" s="7" t="s">
        <v>101</v>
      </c>
      <c r="J8" s="7" t="s">
        <v>102</v>
      </c>
      <c r="K8" s="7" t="s">
        <v>29</v>
      </c>
      <c r="L8" s="7" t="s">
        <v>103</v>
      </c>
      <c r="M8" s="7" t="s">
        <v>104</v>
      </c>
      <c r="N8" s="7" t="s">
        <v>75</v>
      </c>
    </row>
    <row r="9" customFormat="false" ht="18" hidden="false" customHeight="true" outlineLevel="0" collapsed="false">
      <c r="A9" s="34" t="s">
        <v>169</v>
      </c>
      <c r="B9" s="34" t="s">
        <v>170</v>
      </c>
      <c r="C9" s="34" t="s">
        <v>110</v>
      </c>
      <c r="D9" s="34" t="s">
        <v>33</v>
      </c>
      <c r="E9" s="34" t="s">
        <v>36</v>
      </c>
      <c r="F9" s="35" t="s">
        <v>63</v>
      </c>
      <c r="G9" s="36" t="n">
        <v>760000</v>
      </c>
      <c r="H9" s="36" t="n">
        <v>180000</v>
      </c>
      <c r="I9" s="36" t="n">
        <v>580000</v>
      </c>
      <c r="J9" s="36" t="n">
        <v>380000</v>
      </c>
      <c r="K9" s="36" t="n">
        <v>760000</v>
      </c>
      <c r="L9" s="36" t="n">
        <v>873999</v>
      </c>
      <c r="M9" s="36" t="n">
        <v>646000</v>
      </c>
      <c r="N9" s="34"/>
    </row>
    <row r="10" customFormat="false" ht="18" hidden="false" customHeight="true" outlineLevel="0" collapsed="false">
      <c r="A10" s="37" t="s">
        <v>171</v>
      </c>
      <c r="B10" s="37" t="s">
        <v>172</v>
      </c>
      <c r="C10" s="37" t="s">
        <v>137</v>
      </c>
      <c r="D10" s="37" t="s">
        <v>33</v>
      </c>
      <c r="E10" s="37" t="s">
        <v>36</v>
      </c>
      <c r="F10" s="49" t="s">
        <v>65</v>
      </c>
      <c r="G10" s="39" t="n">
        <v>1100000</v>
      </c>
      <c r="H10" s="39" t="n">
        <v>0</v>
      </c>
      <c r="I10" s="39" t="n">
        <v>1100000</v>
      </c>
      <c r="J10" s="39" t="n">
        <v>1100000</v>
      </c>
      <c r="K10" s="39" t="n">
        <v>1100000</v>
      </c>
      <c r="L10" s="39" t="n">
        <v>1265000</v>
      </c>
      <c r="M10" s="39" t="n">
        <v>935000</v>
      </c>
      <c r="N10" s="37"/>
    </row>
    <row r="11" customFormat="false" ht="19.5" hidden="false" customHeight="true" outlineLevel="0" collapsed="false">
      <c r="A11" s="16" t="s">
        <v>111</v>
      </c>
      <c r="B11" s="16"/>
      <c r="C11" s="16"/>
      <c r="D11" s="16"/>
      <c r="E11" s="16"/>
      <c r="F11" s="16"/>
      <c r="G11" s="17" t="n">
        <f aca="false">SUM(G9:G10)</f>
        <v>1860000</v>
      </c>
      <c r="H11" s="17" t="n">
        <f aca="false">SUM(H9:H10)</f>
        <v>180000</v>
      </c>
      <c r="I11" s="17" t="n">
        <f aca="false">SUM(I9:I10)</f>
        <v>1680000</v>
      </c>
      <c r="J11" s="17" t="n">
        <f aca="false">SUM(J9:J10)</f>
        <v>1480000</v>
      </c>
      <c r="K11" s="17" t="n">
        <f aca="false">SUM(K9:K10)</f>
        <v>1860000</v>
      </c>
      <c r="L11" s="17" t="n">
        <f aca="false">SUM(L9:L10)</f>
        <v>2138999</v>
      </c>
      <c r="M11" s="17" t="n">
        <f aca="false">SUM(M9:M10)</f>
        <v>1581000</v>
      </c>
    </row>
    <row r="13" customFormat="false" ht="21.75" hidden="false" customHeight="true" outlineLevel="0" collapsed="false">
      <c r="A13" s="40" t="s">
        <v>173</v>
      </c>
      <c r="B13" s="40"/>
      <c r="C13" s="40"/>
      <c r="D13" s="40"/>
      <c r="E13" s="40"/>
      <c r="F13" s="40"/>
      <c r="G13" s="40"/>
      <c r="H13" s="40"/>
    </row>
    <row r="14" customFormat="false" ht="31.5" hidden="false" customHeight="true" outlineLevel="0" collapsed="false">
      <c r="A14" s="41" t="s">
        <v>113</v>
      </c>
      <c r="B14" s="41" t="s">
        <v>114</v>
      </c>
      <c r="C14" s="41" t="s">
        <v>58</v>
      </c>
      <c r="D14" s="41" t="s">
        <v>115</v>
      </c>
      <c r="E14" s="41" t="s">
        <v>116</v>
      </c>
      <c r="F14" s="41" t="s">
        <v>17</v>
      </c>
      <c r="G14" s="41" t="s">
        <v>18</v>
      </c>
      <c r="H14" s="41" t="s">
        <v>117</v>
      </c>
    </row>
    <row r="15" customFormat="false" ht="19.5" hidden="false" customHeight="true" outlineLevel="0" collapsed="false">
      <c r="A15" s="42" t="s">
        <v>118</v>
      </c>
      <c r="B15" s="42" t="s">
        <v>119</v>
      </c>
      <c r="C15" s="43" t="n">
        <v>2139000</v>
      </c>
      <c r="D15" s="43" t="n">
        <v>279000</v>
      </c>
      <c r="E15" s="44" t="n">
        <v>0.15</v>
      </c>
      <c r="F15" s="43" t="n">
        <v>162000</v>
      </c>
      <c r="G15" s="43" t="n">
        <v>1977000</v>
      </c>
      <c r="H15" s="42" t="s">
        <v>120</v>
      </c>
    </row>
    <row r="16" customFormat="false" ht="19.5" hidden="false" customHeight="true" outlineLevel="0" collapsed="false">
      <c r="A16" s="34" t="s">
        <v>121</v>
      </c>
      <c r="B16" s="34" t="s">
        <v>122</v>
      </c>
      <c r="C16" s="36" t="n">
        <v>1860000</v>
      </c>
      <c r="D16" s="36" t="n">
        <v>0</v>
      </c>
      <c r="E16" s="45" t="n">
        <v>0</v>
      </c>
      <c r="F16" s="36" t="n">
        <v>180000</v>
      </c>
      <c r="G16" s="36" t="n">
        <v>1680000</v>
      </c>
      <c r="H16" s="34" t="s">
        <v>123</v>
      </c>
    </row>
    <row r="17" customFormat="false" ht="19.5" hidden="false" customHeight="true" outlineLevel="0" collapsed="false">
      <c r="A17" s="46" t="s">
        <v>124</v>
      </c>
      <c r="B17" s="46" t="s">
        <v>125</v>
      </c>
      <c r="C17" s="47" t="n">
        <v>1395000</v>
      </c>
      <c r="D17" s="47" t="n">
        <v>-465000</v>
      </c>
      <c r="E17" s="48" t="n">
        <v>-0.25</v>
      </c>
      <c r="F17" s="47" t="n">
        <v>198000</v>
      </c>
      <c r="G17" s="47" t="n">
        <v>1197000</v>
      </c>
      <c r="H17" s="46" t="s">
        <v>126</v>
      </c>
    </row>
  </sheetData>
  <mergeCells count="21">
    <mergeCell ref="A1:N1"/>
    <mergeCell ref="A3:N3"/>
    <mergeCell ref="A4:B4"/>
    <mergeCell ref="C4:D4"/>
    <mergeCell ref="E4:F4"/>
    <mergeCell ref="G4:H4"/>
    <mergeCell ref="I4:J4"/>
    <mergeCell ref="K4:L4"/>
    <mergeCell ref="M4:N4"/>
    <mergeCell ref="O4:P4"/>
    <mergeCell ref="A5:B5"/>
    <mergeCell ref="C5:D5"/>
    <mergeCell ref="E5:F5"/>
    <mergeCell ref="G5:H5"/>
    <mergeCell ref="I5:J5"/>
    <mergeCell ref="K5:L5"/>
    <mergeCell ref="M5:N5"/>
    <mergeCell ref="O5:P5"/>
    <mergeCell ref="A7:N7"/>
    <mergeCell ref="A11:F11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8" min="6" style="0" width="13"/>
    <col collapsed="false" customWidth="true" hidden="false" outlineLevel="0" max="9" min="9" style="0" width="14"/>
    <col collapsed="false" customWidth="true" hidden="false" outlineLevel="0" max="10" min="10" style="0" width="28"/>
  </cols>
  <sheetData>
    <row r="1" customFormat="false" ht="31.5" hidden="false" customHeight="true" outlineLevel="0" collapsed="false">
      <c r="A1" s="31" t="s">
        <v>174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3" customFormat="false" ht="21.75" hidden="false" customHeight="true" outlineLevel="0" collapsed="false">
      <c r="A3" s="3" t="s">
        <v>175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customFormat="false" ht="39.75" hidden="false" customHeight="true" outlineLevel="0" collapsed="false">
      <c r="A4" s="7" t="s">
        <v>98</v>
      </c>
      <c r="B4" s="7" t="s">
        <v>176</v>
      </c>
      <c r="C4" s="7" t="s">
        <v>99</v>
      </c>
      <c r="D4" s="7" t="s">
        <v>100</v>
      </c>
      <c r="E4" s="7" t="s">
        <v>101</v>
      </c>
      <c r="F4" s="7" t="s">
        <v>102</v>
      </c>
      <c r="G4" s="7" t="s">
        <v>177</v>
      </c>
      <c r="H4" s="7" t="s">
        <v>178</v>
      </c>
      <c r="I4" s="7" t="s">
        <v>179</v>
      </c>
      <c r="J4" s="7" t="s">
        <v>180</v>
      </c>
    </row>
    <row r="5" customFormat="false" ht="19.5" hidden="false" customHeight="true" outlineLevel="0" collapsed="false">
      <c r="A5" s="19" t="s">
        <v>32</v>
      </c>
      <c r="B5" s="19" t="s">
        <v>181</v>
      </c>
      <c r="C5" s="50" t="n">
        <v>12325000</v>
      </c>
      <c r="D5" s="50" t="n">
        <v>3190000</v>
      </c>
      <c r="E5" s="51" t="n">
        <f aca="false">C5-D5</f>
        <v>9135000</v>
      </c>
      <c r="F5" s="50" t="n">
        <v>4176000</v>
      </c>
      <c r="G5" s="50" t="n">
        <v>10474000</v>
      </c>
      <c r="H5" s="50" t="n">
        <v>12325000</v>
      </c>
      <c r="I5" s="52" t="n">
        <f aca="false">IFERROR(C5/C8,"-")</f>
        <v>0.524914821124361</v>
      </c>
      <c r="J5" s="19" t="s">
        <v>182</v>
      </c>
    </row>
    <row r="6" customFormat="false" ht="19.5" hidden="false" customHeight="true" outlineLevel="0" collapsed="false">
      <c r="A6" s="22" t="s">
        <v>36</v>
      </c>
      <c r="B6" s="22" t="s">
        <v>183</v>
      </c>
      <c r="C6" s="53" t="n">
        <v>8355000</v>
      </c>
      <c r="D6" s="53" t="n">
        <v>3035000</v>
      </c>
      <c r="E6" s="54" t="n">
        <f aca="false">C6-D6</f>
        <v>5320000</v>
      </c>
      <c r="F6" s="53" t="n">
        <v>3907500</v>
      </c>
      <c r="G6" s="53" t="n">
        <v>7630000</v>
      </c>
      <c r="H6" s="53" t="n">
        <v>8355000</v>
      </c>
      <c r="I6" s="55" t="n">
        <f aca="false">IFERROR(C6/C8,"-")</f>
        <v>0.355834752981261</v>
      </c>
      <c r="J6" s="22" t="s">
        <v>184</v>
      </c>
    </row>
    <row r="7" customFormat="false" ht="19.5" hidden="false" customHeight="true" outlineLevel="0" collapsed="false">
      <c r="A7" s="19" t="s">
        <v>156</v>
      </c>
      <c r="B7" s="19" t="s">
        <v>185</v>
      </c>
      <c r="C7" s="50" t="n">
        <v>2800000</v>
      </c>
      <c r="D7" s="50" t="n">
        <v>200000</v>
      </c>
      <c r="E7" s="51" t="n">
        <f aca="false">C7-D7</f>
        <v>2600000</v>
      </c>
      <c r="F7" s="50" t="n">
        <v>1120000</v>
      </c>
      <c r="G7" s="50" t="n">
        <v>2520000</v>
      </c>
      <c r="H7" s="50" t="n">
        <v>2800000</v>
      </c>
      <c r="I7" s="52" t="n">
        <f aca="false">IFERROR(C7/C8,"-")</f>
        <v>0.119250425894378</v>
      </c>
      <c r="J7" s="19" t="s">
        <v>186</v>
      </c>
    </row>
    <row r="8" customFormat="false" ht="21.75" hidden="false" customHeight="true" outlineLevel="0" collapsed="false">
      <c r="A8" s="16" t="s">
        <v>23</v>
      </c>
      <c r="B8" s="16"/>
      <c r="C8" s="17" t="n">
        <f aca="false">SUM(C5:C7)</f>
        <v>23480000</v>
      </c>
      <c r="D8" s="17" t="n">
        <f aca="false">SUM(D5:D7)</f>
        <v>6425000</v>
      </c>
      <c r="E8" s="17" t="n">
        <f aca="false">SUM(E5:E7)</f>
        <v>17055000</v>
      </c>
      <c r="F8" s="17" t="n">
        <f aca="false">SUM(F5:F7)</f>
        <v>9203500</v>
      </c>
      <c r="G8" s="17" t="n">
        <f aca="false">SUM(G5:G7)</f>
        <v>20624000</v>
      </c>
      <c r="H8" s="17" t="n">
        <f aca="false">SUM(H5:H7)</f>
        <v>23480000</v>
      </c>
      <c r="I8" s="18" t="s">
        <v>24</v>
      </c>
    </row>
    <row r="10" customFormat="false" ht="27.75" hidden="false" customHeight="true" outlineLevel="0" collapsed="false">
      <c r="A10" s="3" t="s">
        <v>187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customFormat="false" ht="39.75" hidden="false" customHeight="true" outlineLevel="0" collapsed="false">
      <c r="A11" s="7" t="s">
        <v>188</v>
      </c>
      <c r="B11" s="7" t="s">
        <v>189</v>
      </c>
      <c r="C11" s="7" t="s">
        <v>190</v>
      </c>
      <c r="D11" s="7" t="s">
        <v>191</v>
      </c>
      <c r="E11" s="7" t="s">
        <v>192</v>
      </c>
      <c r="F11" s="7" t="s">
        <v>193</v>
      </c>
      <c r="G11" s="7" t="s">
        <v>194</v>
      </c>
      <c r="H11" s="7" t="s">
        <v>75</v>
      </c>
    </row>
    <row r="12" customFormat="false" ht="19.5" hidden="false" customHeight="true" outlineLevel="0" collapsed="false">
      <c r="A12" s="19" t="s">
        <v>195</v>
      </c>
      <c r="B12" s="19" t="s">
        <v>195</v>
      </c>
      <c r="C12" s="21" t="n">
        <v>850000000</v>
      </c>
      <c r="D12" s="21" t="n">
        <v>0</v>
      </c>
      <c r="E12" s="21" t="n">
        <f aca="false">C12+D12</f>
        <v>850000000</v>
      </c>
      <c r="F12" s="21" t="n">
        <f aca="false">E12-C12</f>
        <v>0</v>
      </c>
      <c r="G12" s="19" t="n">
        <f aca="false">IFERROR(F12/ABS(C12),"-")</f>
        <v>0</v>
      </c>
      <c r="H12" s="19" t="s">
        <v>196</v>
      </c>
    </row>
    <row r="13" customFormat="false" ht="19.5" hidden="false" customHeight="true" outlineLevel="0" collapsed="false">
      <c r="A13" s="22" t="s">
        <v>197</v>
      </c>
      <c r="B13" s="22" t="s">
        <v>32</v>
      </c>
      <c r="C13" s="24" t="n">
        <v>-520000000</v>
      </c>
      <c r="D13" s="24" t="n">
        <v>12325000</v>
      </c>
      <c r="E13" s="24" t="n">
        <f aca="false">C13+D13</f>
        <v>-507675000</v>
      </c>
      <c r="F13" s="24" t="n">
        <f aca="false">E13-C13</f>
        <v>12325000</v>
      </c>
      <c r="G13" s="22" t="n">
        <f aca="false">IFERROR(F13/ABS(C13),"-")</f>
        <v>0.0237019230769231</v>
      </c>
      <c r="H13" s="22" t="s">
        <v>198</v>
      </c>
    </row>
    <row r="14" customFormat="false" ht="19.5" hidden="false" customHeight="true" outlineLevel="0" collapsed="false">
      <c r="A14" s="56" t="s">
        <v>199</v>
      </c>
      <c r="B14" s="56" t="s">
        <v>199</v>
      </c>
      <c r="C14" s="57" t="n">
        <f aca="false">C12+C13</f>
        <v>330000000</v>
      </c>
      <c r="D14" s="57"/>
      <c r="E14" s="57" t="n">
        <f aca="false">E12+E13</f>
        <v>342325000</v>
      </c>
      <c r="F14" s="57" t="n">
        <f aca="false">E14-C14</f>
        <v>12325000</v>
      </c>
      <c r="G14" s="56" t="n">
        <f aca="false">IFERROR(F14/ABS(C14),"-")</f>
        <v>0.0373484848484848</v>
      </c>
      <c r="H14" s="56"/>
    </row>
    <row r="15" customFormat="false" ht="19.5" hidden="false" customHeight="true" outlineLevel="0" collapsed="false">
      <c r="A15" s="56" t="s">
        <v>200</v>
      </c>
      <c r="B15" s="56" t="s">
        <v>200</v>
      </c>
      <c r="C15" s="58" t="n">
        <f aca="false">IFERROR(C14/C12,"-")</f>
        <v>0.388235294117647</v>
      </c>
      <c r="D15" s="57"/>
      <c r="E15" s="58" t="n">
        <f aca="false">IFERROR(E14/E12,"-")</f>
        <v>0.402735294117647</v>
      </c>
      <c r="F15" s="58" t="n">
        <f aca="false">IFERROR(E15-C15,"-")</f>
        <v>0.0145</v>
      </c>
      <c r="G15" s="56"/>
      <c r="H15" s="56"/>
    </row>
    <row r="16" customFormat="false" ht="19.5" hidden="false" customHeight="true" outlineLevel="0" collapsed="false">
      <c r="A16" s="19" t="s">
        <v>201</v>
      </c>
      <c r="B16" s="19" t="s">
        <v>36</v>
      </c>
      <c r="C16" s="21" t="n">
        <v>-185000000</v>
      </c>
      <c r="D16" s="21" t="n">
        <v>8355000</v>
      </c>
      <c r="E16" s="21" t="n">
        <f aca="false">C16+D16</f>
        <v>-176645000</v>
      </c>
      <c r="F16" s="21" t="n">
        <f aca="false">E16-C16</f>
        <v>8355000</v>
      </c>
      <c r="G16" s="19" t="n">
        <f aca="false">IFERROR(F16/ABS(C16),"-")</f>
        <v>0.0451621621621622</v>
      </c>
      <c r="H16" s="19" t="s">
        <v>202</v>
      </c>
    </row>
    <row r="17" customFormat="false" ht="19.5" hidden="false" customHeight="true" outlineLevel="0" collapsed="false">
      <c r="A17" s="22" t="s">
        <v>203</v>
      </c>
      <c r="B17" s="22" t="s">
        <v>156</v>
      </c>
      <c r="C17" s="24" t="n">
        <v>-68000000</v>
      </c>
      <c r="D17" s="24" t="n">
        <v>2800000</v>
      </c>
      <c r="E17" s="24" t="n">
        <f aca="false">C17+D17</f>
        <v>-65200000</v>
      </c>
      <c r="F17" s="24" t="n">
        <f aca="false">E17-C17</f>
        <v>2800000</v>
      </c>
      <c r="G17" s="22" t="n">
        <f aca="false">IFERROR(F17/ABS(C17),"-")</f>
        <v>0.0411764705882353</v>
      </c>
      <c r="H17" s="22" t="s">
        <v>204</v>
      </c>
    </row>
    <row r="18" customFormat="false" ht="19.5" hidden="false" customHeight="true" outlineLevel="0" collapsed="false">
      <c r="A18" s="56" t="s">
        <v>205</v>
      </c>
      <c r="B18" s="56" t="s">
        <v>205</v>
      </c>
      <c r="C18" s="57" t="n">
        <f aca="false">C12+C13+C16+C17</f>
        <v>77000000</v>
      </c>
      <c r="D18" s="57"/>
      <c r="E18" s="57" t="n">
        <f aca="false">E12+E13+E16+E17</f>
        <v>100480000</v>
      </c>
      <c r="F18" s="57" t="n">
        <f aca="false">E18-C18</f>
        <v>23480000</v>
      </c>
      <c r="G18" s="56" t="n">
        <f aca="false">IFERROR(F18/ABS(C18),"-")</f>
        <v>0.304935064935065</v>
      </c>
      <c r="H18" s="56"/>
    </row>
    <row r="19" customFormat="false" ht="19.5" hidden="false" customHeight="true" outlineLevel="0" collapsed="false">
      <c r="A19" s="56" t="s">
        <v>206</v>
      </c>
      <c r="B19" s="56" t="s">
        <v>206</v>
      </c>
      <c r="C19" s="58" t="n">
        <f aca="false">IFERROR(C18/C12,"-")</f>
        <v>0.0905882352941177</v>
      </c>
      <c r="D19" s="57"/>
      <c r="E19" s="58" t="n">
        <f aca="false">IFERROR(E18/E12,"-")</f>
        <v>0.118211764705882</v>
      </c>
      <c r="F19" s="58" t="n">
        <f aca="false">IFERROR(E19-C19,"-")</f>
        <v>0.0276235294117647</v>
      </c>
      <c r="G19" s="56"/>
      <c r="H19" s="56"/>
    </row>
    <row r="22" customFormat="false" ht="27.75" hidden="false" customHeight="true" outlineLevel="0" collapsed="false">
      <c r="A22" s="3" t="s">
        <v>207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customFormat="false" ht="21.75" hidden="false" customHeight="true" outlineLevel="0" collapsed="false">
      <c r="A23" s="33" t="s">
        <v>208</v>
      </c>
      <c r="B23" s="33"/>
      <c r="C23" s="33"/>
      <c r="D23" s="33"/>
      <c r="E23" s="33"/>
      <c r="F23" s="33"/>
      <c r="G23" s="33"/>
      <c r="H23" s="33"/>
    </row>
    <row r="24" customFormat="false" ht="18" hidden="false" customHeight="true" outlineLevel="0" collapsed="false">
      <c r="A24" s="19" t="s">
        <v>209</v>
      </c>
      <c r="B24" s="19" t="s">
        <v>210</v>
      </c>
      <c r="C24" s="59" t="n">
        <v>85</v>
      </c>
      <c r="D24" s="19" t="s">
        <v>211</v>
      </c>
    </row>
    <row r="25" customFormat="false" ht="18" hidden="false" customHeight="true" outlineLevel="0" collapsed="false">
      <c r="A25" s="22" t="s">
        <v>212</v>
      </c>
      <c r="B25" s="22" t="s">
        <v>213</v>
      </c>
      <c r="C25" s="60" t="n">
        <v>12.5</v>
      </c>
      <c r="D25" s="22" t="s">
        <v>214</v>
      </c>
    </row>
    <row r="26" customFormat="false" ht="18" hidden="false" customHeight="true" outlineLevel="0" collapsed="false">
      <c r="A26" s="19" t="s">
        <v>215</v>
      </c>
      <c r="B26" s="19" t="s">
        <v>216</v>
      </c>
      <c r="C26" s="59" t="n">
        <f aca="false">E18/1000000-(-77000000/1000000)</f>
        <v>177.48</v>
      </c>
      <c r="D26" s="19" t="s">
        <v>217</v>
      </c>
    </row>
    <row r="27" customFormat="false" ht="18" hidden="false" customHeight="true" outlineLevel="0" collapsed="false">
      <c r="A27" s="22" t="s">
        <v>218</v>
      </c>
      <c r="B27" s="22" t="s">
        <v>219</v>
      </c>
      <c r="C27" s="60" t="n">
        <f aca="false">C24+C26</f>
        <v>262.48</v>
      </c>
      <c r="D27" s="22" t="s">
        <v>217</v>
      </c>
    </row>
    <row r="28" customFormat="false" ht="18" hidden="false" customHeight="true" outlineLevel="0" collapsed="false">
      <c r="A28" s="19" t="s">
        <v>220</v>
      </c>
      <c r="B28" s="19" t="s">
        <v>221</v>
      </c>
      <c r="C28" s="59" t="n">
        <v>13</v>
      </c>
      <c r="D28" s="19" t="s">
        <v>214</v>
      </c>
    </row>
    <row r="29" customFormat="false" ht="18" hidden="false" customHeight="true" outlineLevel="0" collapsed="false">
      <c r="A29" s="22" t="s">
        <v>222</v>
      </c>
      <c r="B29" s="22" t="s">
        <v>223</v>
      </c>
      <c r="C29" s="60" t="n">
        <v>14.5</v>
      </c>
      <c r="D29" s="22" t="s">
        <v>214</v>
      </c>
    </row>
    <row r="30" customFormat="false" ht="18" hidden="false" customHeight="true" outlineLevel="0" collapsed="false">
      <c r="A30" s="19" t="s">
        <v>224</v>
      </c>
      <c r="B30" s="19" t="s">
        <v>225</v>
      </c>
      <c r="C30" s="59" t="n">
        <v>11.5</v>
      </c>
      <c r="D30" s="19" t="s">
        <v>214</v>
      </c>
    </row>
    <row r="31" customFormat="false" ht="18" hidden="false" customHeight="true" outlineLevel="0" collapsed="false">
      <c r="A31" s="22" t="s">
        <v>226</v>
      </c>
      <c r="B31" s="22" t="s">
        <v>227</v>
      </c>
      <c r="C31" s="60" t="n">
        <v>420</v>
      </c>
      <c r="D31" s="22" t="s">
        <v>211</v>
      </c>
    </row>
    <row r="32" customFormat="false" ht="18" hidden="false" customHeight="true" outlineLevel="0" collapsed="false">
      <c r="A32" s="19" t="s">
        <v>228</v>
      </c>
      <c r="B32" s="19" t="s">
        <v>229</v>
      </c>
      <c r="C32" s="59" t="n">
        <v>5</v>
      </c>
      <c r="D32" s="19" t="s">
        <v>230</v>
      </c>
    </row>
    <row r="35" customFormat="false" ht="21.75" hidden="false" customHeight="true" outlineLevel="0" collapsed="false">
      <c r="A35" s="40" t="s">
        <v>231</v>
      </c>
      <c r="B35" s="40"/>
      <c r="C35" s="40"/>
      <c r="D35" s="40"/>
      <c r="E35" s="40"/>
      <c r="F35" s="40"/>
      <c r="G35" s="40"/>
      <c r="H35" s="40"/>
      <c r="I35" s="40"/>
      <c r="J35" s="40"/>
    </row>
    <row r="36" customFormat="false" ht="39.75" hidden="false" customHeight="true" outlineLevel="0" collapsed="false">
      <c r="A36" s="41" t="s">
        <v>113</v>
      </c>
      <c r="B36" s="41" t="s">
        <v>232</v>
      </c>
      <c r="C36" s="41" t="s">
        <v>233</v>
      </c>
      <c r="D36" s="41" t="s">
        <v>234</v>
      </c>
      <c r="E36" s="41" t="s">
        <v>235</v>
      </c>
      <c r="F36" s="41" t="s">
        <v>236</v>
      </c>
      <c r="G36" s="41" t="s">
        <v>237</v>
      </c>
      <c r="H36" s="41" t="s">
        <v>238</v>
      </c>
      <c r="I36" s="41" t="s">
        <v>239</v>
      </c>
      <c r="J36" s="41" t="s">
        <v>240</v>
      </c>
    </row>
    <row r="37" customFormat="false" ht="21.75" hidden="false" customHeight="true" outlineLevel="0" collapsed="false">
      <c r="A37" s="61" t="s">
        <v>118</v>
      </c>
      <c r="B37" s="62" t="n">
        <f aca="false">C24*C25</f>
        <v>1062.5</v>
      </c>
      <c r="C37" s="62" t="n">
        <f aca="false">C24*C25-C31</f>
        <v>642.5</v>
      </c>
      <c r="D37" s="63" t="n">
        <f aca="false">C27</f>
        <v>262.48</v>
      </c>
      <c r="E37" s="64" t="n">
        <f aca="false">C29</f>
        <v>14.5</v>
      </c>
      <c r="F37" s="62" t="n">
        <f aca="false">C27*C29</f>
        <v>3805.96</v>
      </c>
      <c r="G37" s="62" t="n">
        <f aca="false">C27*C29-C31</f>
        <v>3385.96</v>
      </c>
      <c r="H37" s="64" t="n">
        <f aca="false">IFERROR((C27*C29-C31)/(C24*C25-C31),"-")</f>
        <v>5.2699766536965</v>
      </c>
      <c r="I37" s="62" t="n">
        <f aca="false">(C27*C29-C31)-(C24*C25-C31)</f>
        <v>2743.46</v>
      </c>
      <c r="J37" s="65" t="s">
        <v>241</v>
      </c>
    </row>
    <row r="38" customFormat="false" ht="21.75" hidden="false" customHeight="true" outlineLevel="0" collapsed="false">
      <c r="A38" s="66" t="s">
        <v>121</v>
      </c>
      <c r="B38" s="67" t="n">
        <f aca="false">C24*C25</f>
        <v>1062.5</v>
      </c>
      <c r="C38" s="67" t="n">
        <f aca="false">C24*C25-C31</f>
        <v>642.5</v>
      </c>
      <c r="D38" s="59" t="n">
        <f aca="false">C27</f>
        <v>262.48</v>
      </c>
      <c r="E38" s="68" t="n">
        <f aca="false">C28</f>
        <v>13</v>
      </c>
      <c r="F38" s="67" t="n">
        <f aca="false">C27*C28</f>
        <v>3412.24</v>
      </c>
      <c r="G38" s="67" t="n">
        <f aca="false">C27*C28-C31</f>
        <v>2992.24</v>
      </c>
      <c r="H38" s="68" t="n">
        <f aca="false">IFERROR((C27*C28-C31)/(C24*C25-C31),"-")</f>
        <v>4.65718287937743</v>
      </c>
      <c r="I38" s="67" t="n">
        <f aca="false">(C27*C28-C31)-(C24*C25-C31)</f>
        <v>2349.74</v>
      </c>
      <c r="J38" s="19" t="s">
        <v>242</v>
      </c>
    </row>
    <row r="39" customFormat="false" ht="21.75" hidden="false" customHeight="true" outlineLevel="0" collapsed="false">
      <c r="A39" s="69" t="s">
        <v>124</v>
      </c>
      <c r="B39" s="70" t="n">
        <f aca="false">C24*C25</f>
        <v>1062.5</v>
      </c>
      <c r="C39" s="70" t="n">
        <f aca="false">C24*C25-C31</f>
        <v>642.5</v>
      </c>
      <c r="D39" s="71" t="n">
        <f aca="false">C27*0.85</f>
        <v>223.108</v>
      </c>
      <c r="E39" s="72" t="n">
        <f aca="false">C30</f>
        <v>11.5</v>
      </c>
      <c r="F39" s="70" t="n">
        <f aca="false">C27*0.85*C30</f>
        <v>2565.742</v>
      </c>
      <c r="G39" s="70" t="n">
        <f aca="false">C27*0.85*C30-C31</f>
        <v>2145.742</v>
      </c>
      <c r="H39" s="72" t="n">
        <f aca="false">IFERROR((C27*0.85*C30-C31)/(C24*C25-C31),"-")</f>
        <v>3.33967626459144</v>
      </c>
      <c r="I39" s="70" t="n">
        <f aca="false">(C27*0.85*C30-C31)-(C24*C25-C31)</f>
        <v>1503.242</v>
      </c>
      <c r="J39" s="73" t="s">
        <v>243</v>
      </c>
    </row>
    <row r="41" customFormat="false" ht="21.75" hidden="false" customHeight="true" outlineLevel="0" collapsed="false">
      <c r="A41" s="3" t="s">
        <v>244</v>
      </c>
      <c r="B41" s="3"/>
      <c r="C41" s="3"/>
      <c r="D41" s="3"/>
      <c r="E41" s="3"/>
      <c r="F41" s="3"/>
      <c r="G41" s="3"/>
      <c r="H41" s="3"/>
      <c r="I41" s="3"/>
      <c r="J41" s="3"/>
    </row>
    <row r="42" customFormat="false" ht="31.5" hidden="false" customHeight="true" outlineLevel="0" collapsed="false">
      <c r="A42" s="7" t="s">
        <v>245</v>
      </c>
      <c r="B42" s="7" t="s">
        <v>246</v>
      </c>
      <c r="C42" s="7" t="s">
        <v>247</v>
      </c>
      <c r="D42" s="7" t="s">
        <v>248</v>
      </c>
    </row>
    <row r="43" customFormat="false" ht="19.5" hidden="false" customHeight="true" outlineLevel="0" collapsed="false">
      <c r="A43" s="19" t="s">
        <v>249</v>
      </c>
      <c r="B43" s="67" t="n">
        <v>305.24</v>
      </c>
      <c r="C43" s="52" t="n">
        <f aca="false">IFERROR(B43/B47,"-")</f>
        <v>0.581143858045846</v>
      </c>
      <c r="D43" s="19" t="s">
        <v>250</v>
      </c>
    </row>
    <row r="44" customFormat="false" ht="19.5" hidden="false" customHeight="true" outlineLevel="0" collapsed="false">
      <c r="A44" s="22" t="s">
        <v>251</v>
      </c>
      <c r="B44" s="74" t="n">
        <v>170</v>
      </c>
      <c r="C44" s="55" t="n">
        <f aca="false">IFERROR(B44/B47,"-")</f>
        <v>0.323661564237301</v>
      </c>
      <c r="D44" s="22" t="s">
        <v>252</v>
      </c>
    </row>
    <row r="45" customFormat="false" ht="19.5" hidden="false" customHeight="true" outlineLevel="0" collapsed="false">
      <c r="A45" s="19" t="s">
        <v>253</v>
      </c>
      <c r="B45" s="67" t="n">
        <v>35</v>
      </c>
      <c r="C45" s="52" t="n">
        <f aca="false">IFERROR(B45/B47,"-")</f>
        <v>0.0666362044017973</v>
      </c>
      <c r="D45" s="19" t="s">
        <v>254</v>
      </c>
    </row>
    <row r="46" customFormat="false" ht="19.5" hidden="false" customHeight="true" outlineLevel="0" collapsed="false">
      <c r="A46" s="22" t="s">
        <v>255</v>
      </c>
      <c r="B46" s="74" t="n">
        <v>15</v>
      </c>
      <c r="C46" s="55" t="n">
        <f aca="false">IFERROR(B46/B47,"-")</f>
        <v>0.028558373315056</v>
      </c>
      <c r="D46" s="22" t="s">
        <v>256</v>
      </c>
    </row>
    <row r="47" customFormat="false" ht="19.5" hidden="false" customHeight="true" outlineLevel="0" collapsed="false">
      <c r="A47" s="75" t="s">
        <v>257</v>
      </c>
      <c r="B47" s="76" t="n">
        <f aca="false">SUM(B43:B46)</f>
        <v>525.24</v>
      </c>
      <c r="C47" s="77" t="s">
        <v>24</v>
      </c>
      <c r="D47" s="75" t="s">
        <v>258</v>
      </c>
    </row>
  </sheetData>
  <mergeCells count="8">
    <mergeCell ref="A1:P1"/>
    <mergeCell ref="A3:P3"/>
    <mergeCell ref="A8:B8"/>
    <mergeCell ref="A10:P10"/>
    <mergeCell ref="A22:P22"/>
    <mergeCell ref="A23:H23"/>
    <mergeCell ref="A35:J35"/>
    <mergeCell ref="A41:J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4" min="3" style="0" width="9"/>
    <col collapsed="false" customWidth="true" hidden="false" outlineLevel="0" max="6" min="5" style="0" width="16"/>
    <col collapsed="false" customWidth="true" hidden="false" outlineLevel="0" max="7" min="7" style="0" width="30"/>
    <col collapsed="false" customWidth="true" hidden="false" outlineLevel="0" max="8" min="8" style="0" width="8"/>
    <col collapsed="false" customWidth="true" hidden="false" outlineLevel="0" max="9" min="9" style="0" width="16"/>
    <col collapsed="false" customWidth="true" hidden="false" outlineLevel="0" max="10" min="10" style="0" width="8"/>
    <col collapsed="false" customWidth="true" hidden="false" outlineLevel="0" max="11" min="11" style="0" width="38"/>
    <col collapsed="false" customWidth="true" hidden="false" outlineLevel="0" max="12" min="12" style="0" width="12"/>
    <col collapsed="false" customWidth="true" hidden="false" outlineLevel="0" max="14" min="13" style="0" width="11"/>
    <col collapsed="false" customWidth="true" hidden="false" outlineLevel="0" max="18" min="15" style="0" width="13"/>
    <col collapsed="false" customWidth="true" hidden="false" outlineLevel="0" max="21" min="19" style="0" width="8"/>
    <col collapsed="false" customWidth="true" hidden="false" outlineLevel="0" max="22" min="22" style="0" width="10"/>
    <col collapsed="false" customWidth="true" hidden="false" outlineLevel="0" max="23" min="23" style="0" width="28"/>
  </cols>
  <sheetData>
    <row r="1" customFormat="false" ht="31.5" hidden="false" customHeight="true" outlineLevel="0" collapsed="false">
      <c r="A1" s="31" t="s">
        <v>259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</row>
    <row r="2" customFormat="false" ht="45" hidden="false" customHeight="true" outlineLevel="0" collapsed="false">
      <c r="A2" s="7" t="s">
        <v>96</v>
      </c>
      <c r="B2" s="7" t="s">
        <v>260</v>
      </c>
      <c r="C2" s="7" t="s">
        <v>261</v>
      </c>
      <c r="D2" s="7" t="s">
        <v>262</v>
      </c>
      <c r="E2" s="7" t="s">
        <v>263</v>
      </c>
      <c r="F2" s="7" t="s">
        <v>264</v>
      </c>
      <c r="G2" s="7" t="s">
        <v>265</v>
      </c>
      <c r="H2" s="7" t="s">
        <v>27</v>
      </c>
      <c r="I2" s="7" t="s">
        <v>266</v>
      </c>
      <c r="J2" s="7" t="s">
        <v>267</v>
      </c>
      <c r="K2" s="7" t="s">
        <v>114</v>
      </c>
      <c r="L2" s="7" t="s">
        <v>56</v>
      </c>
      <c r="M2" s="7" t="s">
        <v>268</v>
      </c>
      <c r="N2" s="7" t="s">
        <v>269</v>
      </c>
      <c r="O2" s="7" t="s">
        <v>270</v>
      </c>
      <c r="P2" s="7" t="s">
        <v>99</v>
      </c>
      <c r="Q2" s="7" t="s">
        <v>100</v>
      </c>
      <c r="R2" s="7" t="s">
        <v>271</v>
      </c>
      <c r="S2" s="7" t="s">
        <v>272</v>
      </c>
      <c r="T2" s="7" t="s">
        <v>273</v>
      </c>
      <c r="U2" s="7" t="s">
        <v>274</v>
      </c>
      <c r="V2" s="7" t="s">
        <v>275</v>
      </c>
      <c r="W2" s="7" t="s">
        <v>75</v>
      </c>
    </row>
    <row r="3" customFormat="false" ht="18" hidden="false" customHeight="true" outlineLevel="0" collapsed="false">
      <c r="A3" s="34" t="s">
        <v>276</v>
      </c>
      <c r="B3" s="34" t="s">
        <v>277</v>
      </c>
      <c r="C3" s="34" t="s">
        <v>107</v>
      </c>
      <c r="D3" s="34" t="s">
        <v>278</v>
      </c>
      <c r="E3" s="34" t="s">
        <v>35</v>
      </c>
      <c r="F3" s="34" t="s">
        <v>279</v>
      </c>
      <c r="G3" s="34" t="s">
        <v>280</v>
      </c>
      <c r="H3" s="34" t="s">
        <v>33</v>
      </c>
      <c r="I3" s="34" t="s">
        <v>279</v>
      </c>
      <c r="J3" s="34" t="s">
        <v>281</v>
      </c>
      <c r="K3" s="34" t="s">
        <v>282</v>
      </c>
      <c r="L3" s="35" t="s">
        <v>63</v>
      </c>
      <c r="M3" s="34" t="s">
        <v>283</v>
      </c>
      <c r="N3" s="34" t="s">
        <v>284</v>
      </c>
      <c r="O3" s="78" t="n">
        <v>320000</v>
      </c>
      <c r="P3" s="78" t="n">
        <v>320000</v>
      </c>
      <c r="Q3" s="78" t="n">
        <v>45000</v>
      </c>
      <c r="R3" s="78" t="n">
        <v>300000</v>
      </c>
      <c r="S3" s="79" t="n">
        <v>0.5</v>
      </c>
      <c r="T3" s="79" t="n">
        <v>1</v>
      </c>
      <c r="U3" s="79" t="n">
        <v>1</v>
      </c>
      <c r="V3" s="34" t="s">
        <v>36</v>
      </c>
      <c r="W3" s="34"/>
    </row>
    <row r="4" customFormat="false" ht="18" hidden="false" customHeight="true" outlineLevel="0" collapsed="false">
      <c r="A4" s="37" t="s">
        <v>285</v>
      </c>
      <c r="B4" s="37" t="s">
        <v>277</v>
      </c>
      <c r="C4" s="37" t="s">
        <v>107</v>
      </c>
      <c r="D4" s="37" t="s">
        <v>278</v>
      </c>
      <c r="E4" s="37" t="s">
        <v>35</v>
      </c>
      <c r="F4" s="37" t="s">
        <v>286</v>
      </c>
      <c r="G4" s="37" t="s">
        <v>287</v>
      </c>
      <c r="H4" s="37" t="s">
        <v>52</v>
      </c>
      <c r="I4" s="37" t="s">
        <v>288</v>
      </c>
      <c r="J4" s="37" t="s">
        <v>281</v>
      </c>
      <c r="K4" s="37" t="s">
        <v>289</v>
      </c>
      <c r="L4" s="35" t="s">
        <v>63</v>
      </c>
      <c r="M4" s="37" t="s">
        <v>283</v>
      </c>
      <c r="N4" s="37" t="s">
        <v>290</v>
      </c>
      <c r="O4" s="80" t="n">
        <v>385000</v>
      </c>
      <c r="P4" s="80" t="n">
        <v>385000</v>
      </c>
      <c r="Q4" s="80" t="n">
        <v>65000</v>
      </c>
      <c r="R4" s="80" t="n">
        <v>370000</v>
      </c>
      <c r="S4" s="81" t="n">
        <v>0.4</v>
      </c>
      <c r="T4" s="81" t="n">
        <v>1</v>
      </c>
      <c r="U4" s="81" t="n">
        <v>1</v>
      </c>
      <c r="V4" s="37" t="s">
        <v>36</v>
      </c>
      <c r="W4" s="37"/>
    </row>
    <row r="5" customFormat="false" ht="18" hidden="false" customHeight="true" outlineLevel="0" collapsed="false">
      <c r="A5" s="34" t="s">
        <v>291</v>
      </c>
      <c r="B5" s="34" t="s">
        <v>277</v>
      </c>
      <c r="C5" s="34" t="s">
        <v>110</v>
      </c>
      <c r="D5" s="34" t="s">
        <v>278</v>
      </c>
      <c r="E5" s="34" t="s">
        <v>35</v>
      </c>
      <c r="F5" s="34" t="s">
        <v>292</v>
      </c>
      <c r="G5" s="34" t="s">
        <v>293</v>
      </c>
      <c r="H5" s="34" t="s">
        <v>50</v>
      </c>
      <c r="I5" s="34" t="s">
        <v>294</v>
      </c>
      <c r="J5" s="34" t="s">
        <v>295</v>
      </c>
      <c r="K5" s="34" t="s">
        <v>296</v>
      </c>
      <c r="L5" s="35" t="s">
        <v>63</v>
      </c>
      <c r="M5" s="34" t="s">
        <v>297</v>
      </c>
      <c r="N5" s="34" t="s">
        <v>290</v>
      </c>
      <c r="O5" s="78" t="n">
        <v>480000</v>
      </c>
      <c r="P5" s="78" t="n">
        <v>480000</v>
      </c>
      <c r="Q5" s="78" t="n">
        <v>60000</v>
      </c>
      <c r="R5" s="78" t="n">
        <v>450000</v>
      </c>
      <c r="S5" s="79" t="n">
        <v>0.5</v>
      </c>
      <c r="T5" s="79" t="n">
        <v>1</v>
      </c>
      <c r="U5" s="79" t="n">
        <v>1</v>
      </c>
      <c r="V5" s="34" t="s">
        <v>36</v>
      </c>
      <c r="W5" s="34"/>
    </row>
    <row r="6" customFormat="false" ht="18" hidden="false" customHeight="true" outlineLevel="0" collapsed="false">
      <c r="A6" s="37" t="s">
        <v>298</v>
      </c>
      <c r="B6" s="37" t="s">
        <v>277</v>
      </c>
      <c r="C6" s="37" t="s">
        <v>110</v>
      </c>
      <c r="D6" s="37" t="s">
        <v>278</v>
      </c>
      <c r="E6" s="37" t="s">
        <v>35</v>
      </c>
      <c r="F6" s="37" t="s">
        <v>299</v>
      </c>
      <c r="G6" s="37" t="s">
        <v>300</v>
      </c>
      <c r="H6" s="37" t="s">
        <v>37</v>
      </c>
      <c r="I6" s="37" t="s">
        <v>301</v>
      </c>
      <c r="J6" s="37" t="s">
        <v>295</v>
      </c>
      <c r="K6" s="37" t="s">
        <v>302</v>
      </c>
      <c r="L6" s="38" t="s">
        <v>64</v>
      </c>
      <c r="M6" s="37" t="s">
        <v>303</v>
      </c>
      <c r="N6" s="37" t="s">
        <v>304</v>
      </c>
      <c r="O6" s="80" t="n">
        <v>275000</v>
      </c>
      <c r="P6" s="80" t="n">
        <v>275000</v>
      </c>
      <c r="Q6" s="80" t="n">
        <v>35000</v>
      </c>
      <c r="R6" s="80" t="n">
        <v>260000</v>
      </c>
      <c r="S6" s="81" t="n">
        <v>0.2</v>
      </c>
      <c r="T6" s="81" t="n">
        <v>0.8</v>
      </c>
      <c r="U6" s="81" t="n">
        <v>1</v>
      </c>
      <c r="V6" s="37" t="s">
        <v>36</v>
      </c>
      <c r="W6" s="37"/>
    </row>
    <row r="7" customFormat="false" ht="18" hidden="false" customHeight="true" outlineLevel="0" collapsed="false">
      <c r="A7" s="34" t="s">
        <v>305</v>
      </c>
      <c r="B7" s="34" t="s">
        <v>277</v>
      </c>
      <c r="C7" s="34" t="s">
        <v>137</v>
      </c>
      <c r="D7" s="34" t="s">
        <v>278</v>
      </c>
      <c r="E7" s="34" t="s">
        <v>35</v>
      </c>
      <c r="F7" s="34" t="s">
        <v>292</v>
      </c>
      <c r="G7" s="34" t="s">
        <v>306</v>
      </c>
      <c r="H7" s="34" t="s">
        <v>43</v>
      </c>
      <c r="I7" s="34" t="s">
        <v>42</v>
      </c>
      <c r="J7" s="34" t="s">
        <v>307</v>
      </c>
      <c r="K7" s="34" t="s">
        <v>308</v>
      </c>
      <c r="L7" s="35" t="s">
        <v>63</v>
      </c>
      <c r="M7" s="34" t="s">
        <v>283</v>
      </c>
      <c r="N7" s="34" t="s">
        <v>284</v>
      </c>
      <c r="O7" s="78" t="n">
        <v>185000</v>
      </c>
      <c r="P7" s="78" t="n">
        <v>185000</v>
      </c>
      <c r="Q7" s="78" t="n">
        <v>25000</v>
      </c>
      <c r="R7" s="78" t="n">
        <v>175000</v>
      </c>
      <c r="S7" s="79" t="n">
        <v>0.5</v>
      </c>
      <c r="T7" s="79" t="n">
        <v>1</v>
      </c>
      <c r="U7" s="79" t="n">
        <v>1</v>
      </c>
      <c r="V7" s="34" t="s">
        <v>36</v>
      </c>
      <c r="W7" s="34"/>
    </row>
    <row r="8" customFormat="false" ht="18" hidden="false" customHeight="true" outlineLevel="0" collapsed="false">
      <c r="A8" s="37" t="s">
        <v>309</v>
      </c>
      <c r="B8" s="37" t="s">
        <v>277</v>
      </c>
      <c r="C8" s="37" t="s">
        <v>137</v>
      </c>
      <c r="D8" s="37" t="s">
        <v>278</v>
      </c>
      <c r="E8" s="37" t="s">
        <v>35</v>
      </c>
      <c r="F8" s="37" t="s">
        <v>299</v>
      </c>
      <c r="G8" s="37" t="s">
        <v>310</v>
      </c>
      <c r="H8" s="37" t="s">
        <v>50</v>
      </c>
      <c r="I8" s="37" t="s">
        <v>294</v>
      </c>
      <c r="J8" s="37" t="s">
        <v>307</v>
      </c>
      <c r="K8" s="37" t="s">
        <v>311</v>
      </c>
      <c r="L8" s="38" t="s">
        <v>64</v>
      </c>
      <c r="M8" s="37" t="s">
        <v>312</v>
      </c>
      <c r="N8" s="37" t="s">
        <v>313</v>
      </c>
      <c r="O8" s="80" t="n">
        <v>340000</v>
      </c>
      <c r="P8" s="80" t="n">
        <v>340000</v>
      </c>
      <c r="Q8" s="80" t="n">
        <v>50000</v>
      </c>
      <c r="R8" s="80" t="n">
        <v>320000</v>
      </c>
      <c r="S8" s="81" t="n">
        <v>0.2</v>
      </c>
      <c r="T8" s="81" t="n">
        <v>0.8</v>
      </c>
      <c r="U8" s="81" t="n">
        <v>1</v>
      </c>
      <c r="V8" s="37" t="s">
        <v>36</v>
      </c>
      <c r="W8" s="37"/>
    </row>
    <row r="9" customFormat="false" ht="18" hidden="false" customHeight="true" outlineLevel="0" collapsed="false">
      <c r="A9" s="34" t="s">
        <v>314</v>
      </c>
      <c r="B9" s="34" t="s">
        <v>315</v>
      </c>
      <c r="C9" s="34" t="s">
        <v>107</v>
      </c>
      <c r="D9" s="34" t="s">
        <v>278</v>
      </c>
      <c r="E9" s="34" t="s">
        <v>35</v>
      </c>
      <c r="F9" s="34" t="s">
        <v>299</v>
      </c>
      <c r="G9" s="34" t="s">
        <v>316</v>
      </c>
      <c r="H9" s="34" t="s">
        <v>54</v>
      </c>
      <c r="I9" s="34" t="s">
        <v>317</v>
      </c>
      <c r="J9" s="34" t="s">
        <v>318</v>
      </c>
      <c r="K9" s="34" t="s">
        <v>319</v>
      </c>
      <c r="L9" s="35" t="s">
        <v>63</v>
      </c>
      <c r="M9" s="34" t="s">
        <v>297</v>
      </c>
      <c r="N9" s="34" t="s">
        <v>320</v>
      </c>
      <c r="O9" s="78" t="n">
        <v>260000</v>
      </c>
      <c r="P9" s="78" t="n">
        <v>260000</v>
      </c>
      <c r="Q9" s="78" t="n">
        <v>30000</v>
      </c>
      <c r="R9" s="78" t="n">
        <v>250000</v>
      </c>
      <c r="S9" s="79" t="n">
        <v>0.4</v>
      </c>
      <c r="T9" s="79" t="n">
        <v>1</v>
      </c>
      <c r="U9" s="79" t="n">
        <v>1</v>
      </c>
      <c r="V9" s="34" t="s">
        <v>36</v>
      </c>
      <c r="W9" s="34"/>
    </row>
    <row r="10" customFormat="false" ht="18" hidden="false" customHeight="true" outlineLevel="0" collapsed="false">
      <c r="A10" s="37" t="s">
        <v>321</v>
      </c>
      <c r="B10" s="37" t="s">
        <v>315</v>
      </c>
      <c r="C10" s="37" t="s">
        <v>110</v>
      </c>
      <c r="D10" s="37" t="s">
        <v>278</v>
      </c>
      <c r="E10" s="37" t="s">
        <v>35</v>
      </c>
      <c r="F10" s="37" t="s">
        <v>286</v>
      </c>
      <c r="G10" s="37" t="s">
        <v>322</v>
      </c>
      <c r="H10" s="37" t="s">
        <v>37</v>
      </c>
      <c r="I10" s="37" t="s">
        <v>323</v>
      </c>
      <c r="J10" s="37" t="s">
        <v>318</v>
      </c>
      <c r="K10" s="37" t="s">
        <v>324</v>
      </c>
      <c r="L10" s="35" t="s">
        <v>63</v>
      </c>
      <c r="M10" s="37" t="s">
        <v>283</v>
      </c>
      <c r="N10" s="37" t="s">
        <v>325</v>
      </c>
      <c r="O10" s="80" t="n">
        <v>230000</v>
      </c>
      <c r="P10" s="80" t="n">
        <v>230000</v>
      </c>
      <c r="Q10" s="80" t="n">
        <v>35000</v>
      </c>
      <c r="R10" s="80" t="n">
        <v>220000</v>
      </c>
      <c r="S10" s="81" t="n">
        <v>0.5</v>
      </c>
      <c r="T10" s="81" t="n">
        <v>1</v>
      </c>
      <c r="U10" s="81" t="n">
        <v>1</v>
      </c>
      <c r="V10" s="37" t="s">
        <v>36</v>
      </c>
      <c r="W10" s="37"/>
    </row>
    <row r="11" customFormat="false" ht="18" hidden="false" customHeight="true" outlineLevel="0" collapsed="false">
      <c r="A11" s="34" t="s">
        <v>326</v>
      </c>
      <c r="B11" s="34" t="s">
        <v>315</v>
      </c>
      <c r="C11" s="34" t="s">
        <v>137</v>
      </c>
      <c r="D11" s="34" t="s">
        <v>278</v>
      </c>
      <c r="E11" s="34" t="s">
        <v>35</v>
      </c>
      <c r="F11" s="34" t="s">
        <v>299</v>
      </c>
      <c r="G11" s="34" t="s">
        <v>327</v>
      </c>
      <c r="H11" s="34" t="s">
        <v>33</v>
      </c>
      <c r="I11" s="34" t="s">
        <v>328</v>
      </c>
      <c r="J11" s="34" t="s">
        <v>329</v>
      </c>
      <c r="K11" s="34" t="s">
        <v>330</v>
      </c>
      <c r="L11" s="49" t="s">
        <v>65</v>
      </c>
      <c r="M11" s="34" t="s">
        <v>283</v>
      </c>
      <c r="N11" s="34" t="s">
        <v>331</v>
      </c>
      <c r="O11" s="78" t="n">
        <v>180000</v>
      </c>
      <c r="P11" s="78" t="n">
        <v>180000</v>
      </c>
      <c r="Q11" s="78" t="n">
        <v>20000</v>
      </c>
      <c r="R11" s="78" t="n">
        <v>175000</v>
      </c>
      <c r="S11" s="79" t="n">
        <v>1</v>
      </c>
      <c r="T11" s="79" t="n">
        <v>1</v>
      </c>
      <c r="U11" s="79" t="n">
        <v>1</v>
      </c>
      <c r="V11" s="34" t="s">
        <v>36</v>
      </c>
      <c r="W11" s="34"/>
    </row>
    <row r="12" customFormat="false" ht="18" hidden="false" customHeight="true" outlineLevel="0" collapsed="false">
      <c r="A12" s="37" t="s">
        <v>332</v>
      </c>
      <c r="B12" s="37" t="s">
        <v>277</v>
      </c>
      <c r="C12" s="37" t="s">
        <v>107</v>
      </c>
      <c r="D12" s="37" t="s">
        <v>278</v>
      </c>
      <c r="E12" s="37" t="s">
        <v>35</v>
      </c>
      <c r="F12" s="37" t="s">
        <v>299</v>
      </c>
      <c r="G12" s="37" t="s">
        <v>333</v>
      </c>
      <c r="H12" s="37" t="s">
        <v>47</v>
      </c>
      <c r="I12" s="37" t="s">
        <v>334</v>
      </c>
      <c r="J12" s="37" t="s">
        <v>329</v>
      </c>
      <c r="K12" s="37" t="s">
        <v>335</v>
      </c>
      <c r="L12" s="38" t="s">
        <v>64</v>
      </c>
      <c r="M12" s="37" t="s">
        <v>336</v>
      </c>
      <c r="N12" s="37" t="s">
        <v>337</v>
      </c>
      <c r="O12" s="80" t="n">
        <v>210000</v>
      </c>
      <c r="P12" s="80" t="n">
        <v>210000</v>
      </c>
      <c r="Q12" s="80" t="n">
        <v>40000</v>
      </c>
      <c r="R12" s="80" t="n">
        <v>200000</v>
      </c>
      <c r="S12" s="81" t="n">
        <v>0.2</v>
      </c>
      <c r="T12" s="81" t="n">
        <v>0.8</v>
      </c>
      <c r="U12" s="81" t="n">
        <v>1</v>
      </c>
      <c r="V12" s="37" t="s">
        <v>36</v>
      </c>
      <c r="W12" s="37"/>
    </row>
    <row r="13" customFormat="false" ht="18" hidden="false" customHeight="true" outlineLevel="0" collapsed="false">
      <c r="A13" s="34" t="s">
        <v>105</v>
      </c>
      <c r="B13" s="34" t="s">
        <v>31</v>
      </c>
      <c r="C13" s="34" t="s">
        <v>107</v>
      </c>
      <c r="D13" s="34" t="s">
        <v>338</v>
      </c>
      <c r="E13" s="34" t="s">
        <v>31</v>
      </c>
      <c r="F13" s="34" t="s">
        <v>339</v>
      </c>
      <c r="G13" s="34" t="s">
        <v>106</v>
      </c>
      <c r="H13" s="34" t="s">
        <v>37</v>
      </c>
      <c r="I13" s="34" t="s">
        <v>31</v>
      </c>
      <c r="J13" s="34" t="s">
        <v>340</v>
      </c>
      <c r="K13" s="34" t="s">
        <v>341</v>
      </c>
      <c r="L13" s="35" t="s">
        <v>63</v>
      </c>
      <c r="M13" s="34" t="s">
        <v>342</v>
      </c>
      <c r="N13" s="34" t="s">
        <v>343</v>
      </c>
      <c r="O13" s="78" t="n">
        <v>4200000</v>
      </c>
      <c r="P13" s="78" t="n">
        <v>4200000</v>
      </c>
      <c r="Q13" s="78" t="n">
        <v>1800000</v>
      </c>
      <c r="R13" s="78" t="n">
        <v>4000000</v>
      </c>
      <c r="S13" s="79" t="n">
        <v>0.3</v>
      </c>
      <c r="T13" s="79" t="n">
        <v>0.8</v>
      </c>
      <c r="U13" s="79" t="n">
        <v>1</v>
      </c>
      <c r="V13" s="34" t="s">
        <v>32</v>
      </c>
      <c r="W13" s="34"/>
    </row>
    <row r="14" customFormat="false" ht="18" hidden="false" customHeight="true" outlineLevel="0" collapsed="false">
      <c r="A14" s="37" t="s">
        <v>108</v>
      </c>
      <c r="B14" s="37" t="s">
        <v>31</v>
      </c>
      <c r="C14" s="37" t="s">
        <v>110</v>
      </c>
      <c r="D14" s="37" t="s">
        <v>338</v>
      </c>
      <c r="E14" s="37" t="s">
        <v>31</v>
      </c>
      <c r="F14" s="37" t="s">
        <v>339</v>
      </c>
      <c r="G14" s="37" t="s">
        <v>109</v>
      </c>
      <c r="H14" s="37" t="s">
        <v>37</v>
      </c>
      <c r="I14" s="37" t="s">
        <v>31</v>
      </c>
      <c r="J14" s="37" t="s">
        <v>340</v>
      </c>
      <c r="K14" s="37" t="s">
        <v>344</v>
      </c>
      <c r="L14" s="38" t="s">
        <v>64</v>
      </c>
      <c r="M14" s="37" t="s">
        <v>345</v>
      </c>
      <c r="N14" s="37" t="s">
        <v>346</v>
      </c>
      <c r="O14" s="80" t="n">
        <v>1850000</v>
      </c>
      <c r="P14" s="80" t="n">
        <v>1850000</v>
      </c>
      <c r="Q14" s="80" t="n">
        <v>950000</v>
      </c>
      <c r="R14" s="80" t="n">
        <v>1750000</v>
      </c>
      <c r="S14" s="81" t="n">
        <v>0.1</v>
      </c>
      <c r="T14" s="81" t="n">
        <v>0.6</v>
      </c>
      <c r="U14" s="81" t="n">
        <v>1</v>
      </c>
      <c r="V14" s="37" t="s">
        <v>32</v>
      </c>
      <c r="W14" s="37"/>
    </row>
    <row r="15" customFormat="false" ht="18" hidden="false" customHeight="true" outlineLevel="0" collapsed="false">
      <c r="A15" s="34" t="s">
        <v>131</v>
      </c>
      <c r="B15" s="34" t="s">
        <v>277</v>
      </c>
      <c r="C15" s="34" t="s">
        <v>107</v>
      </c>
      <c r="D15" s="34" t="s">
        <v>338</v>
      </c>
      <c r="E15" s="34" t="s">
        <v>39</v>
      </c>
      <c r="F15" s="34" t="s">
        <v>347</v>
      </c>
      <c r="G15" s="34" t="s">
        <v>132</v>
      </c>
      <c r="H15" s="34" t="s">
        <v>40</v>
      </c>
      <c r="I15" s="34" t="s">
        <v>39</v>
      </c>
      <c r="J15" s="34" t="s">
        <v>348</v>
      </c>
      <c r="K15" s="34" t="s">
        <v>349</v>
      </c>
      <c r="L15" s="35" t="s">
        <v>63</v>
      </c>
      <c r="M15" s="34" t="s">
        <v>283</v>
      </c>
      <c r="N15" s="34" t="s">
        <v>304</v>
      </c>
      <c r="O15" s="78" t="n">
        <v>3100000</v>
      </c>
      <c r="P15" s="78" t="n">
        <v>3100000</v>
      </c>
      <c r="Q15" s="78" t="n">
        <v>150000</v>
      </c>
      <c r="R15" s="78" t="n">
        <v>3000000</v>
      </c>
      <c r="S15" s="79" t="n">
        <v>0.5</v>
      </c>
      <c r="T15" s="79" t="n">
        <v>1</v>
      </c>
      <c r="U15" s="79" t="n">
        <v>1</v>
      </c>
      <c r="V15" s="34" t="s">
        <v>32</v>
      </c>
      <c r="W15" s="34"/>
    </row>
    <row r="16" customFormat="false" ht="18" hidden="false" customHeight="true" outlineLevel="0" collapsed="false">
      <c r="A16" s="37" t="s">
        <v>133</v>
      </c>
      <c r="B16" s="37" t="s">
        <v>277</v>
      </c>
      <c r="C16" s="37" t="s">
        <v>110</v>
      </c>
      <c r="D16" s="37" t="s">
        <v>338</v>
      </c>
      <c r="E16" s="37" t="s">
        <v>39</v>
      </c>
      <c r="F16" s="37" t="s">
        <v>350</v>
      </c>
      <c r="G16" s="37" t="s">
        <v>134</v>
      </c>
      <c r="H16" s="37" t="s">
        <v>40</v>
      </c>
      <c r="I16" s="37" t="s">
        <v>39</v>
      </c>
      <c r="J16" s="37" t="s">
        <v>348</v>
      </c>
      <c r="K16" s="37" t="s">
        <v>351</v>
      </c>
      <c r="L16" s="35" t="s">
        <v>63</v>
      </c>
      <c r="M16" s="37" t="s">
        <v>297</v>
      </c>
      <c r="N16" s="37" t="s">
        <v>337</v>
      </c>
      <c r="O16" s="80" t="n">
        <v>1200000</v>
      </c>
      <c r="P16" s="80" t="n">
        <v>1200000</v>
      </c>
      <c r="Q16" s="80" t="n">
        <v>80000</v>
      </c>
      <c r="R16" s="80" t="n">
        <v>1150000</v>
      </c>
      <c r="S16" s="81" t="n">
        <v>0.5</v>
      </c>
      <c r="T16" s="81" t="n">
        <v>1</v>
      </c>
      <c r="U16" s="81" t="n">
        <v>1</v>
      </c>
      <c r="V16" s="37" t="s">
        <v>32</v>
      </c>
      <c r="W16" s="37"/>
    </row>
    <row r="17" customFormat="false" ht="18" hidden="false" customHeight="true" outlineLevel="0" collapsed="false">
      <c r="A17" s="34" t="s">
        <v>135</v>
      </c>
      <c r="B17" s="34" t="s">
        <v>277</v>
      </c>
      <c r="C17" s="34" t="s">
        <v>137</v>
      </c>
      <c r="D17" s="34" t="s">
        <v>338</v>
      </c>
      <c r="E17" s="34" t="s">
        <v>39</v>
      </c>
      <c r="F17" s="34" t="s">
        <v>352</v>
      </c>
      <c r="G17" s="34" t="s">
        <v>136</v>
      </c>
      <c r="H17" s="34" t="s">
        <v>40</v>
      </c>
      <c r="I17" s="34" t="s">
        <v>39</v>
      </c>
      <c r="J17" s="34" t="s">
        <v>353</v>
      </c>
      <c r="K17" s="34" t="s">
        <v>354</v>
      </c>
      <c r="L17" s="38" t="s">
        <v>64</v>
      </c>
      <c r="M17" s="34" t="s">
        <v>303</v>
      </c>
      <c r="N17" s="34" t="s">
        <v>313</v>
      </c>
      <c r="O17" s="78" t="n">
        <v>875000</v>
      </c>
      <c r="P17" s="78" t="n">
        <v>875000</v>
      </c>
      <c r="Q17" s="78" t="n">
        <v>50000</v>
      </c>
      <c r="R17" s="78" t="n">
        <v>850000</v>
      </c>
      <c r="S17" s="79" t="n">
        <v>0.2</v>
      </c>
      <c r="T17" s="79" t="n">
        <v>0.8</v>
      </c>
      <c r="U17" s="79" t="n">
        <v>1</v>
      </c>
      <c r="V17" s="34" t="s">
        <v>32</v>
      </c>
      <c r="W17" s="34"/>
    </row>
    <row r="18" customFormat="false" ht="18" hidden="false" customHeight="true" outlineLevel="0" collapsed="false">
      <c r="A18" s="37" t="s">
        <v>161</v>
      </c>
      <c r="B18" s="37" t="s">
        <v>277</v>
      </c>
      <c r="C18" s="37" t="s">
        <v>107</v>
      </c>
      <c r="D18" s="37" t="s">
        <v>338</v>
      </c>
      <c r="E18" s="37" t="s">
        <v>49</v>
      </c>
      <c r="F18" s="37" t="s">
        <v>355</v>
      </c>
      <c r="G18" s="37" t="s">
        <v>162</v>
      </c>
      <c r="H18" s="37" t="s">
        <v>37</v>
      </c>
      <c r="I18" s="37" t="s">
        <v>356</v>
      </c>
      <c r="J18" s="37" t="s">
        <v>357</v>
      </c>
      <c r="K18" s="37" t="s">
        <v>358</v>
      </c>
      <c r="L18" s="35" t="s">
        <v>63</v>
      </c>
      <c r="M18" s="37" t="s">
        <v>283</v>
      </c>
      <c r="N18" s="37" t="s">
        <v>290</v>
      </c>
      <c r="O18" s="80" t="n">
        <v>620000</v>
      </c>
      <c r="P18" s="80" t="n">
        <v>620000</v>
      </c>
      <c r="Q18" s="80" t="n">
        <v>40000</v>
      </c>
      <c r="R18" s="80" t="n">
        <v>600000</v>
      </c>
      <c r="S18" s="81" t="n">
        <v>0.5</v>
      </c>
      <c r="T18" s="81" t="n">
        <v>1</v>
      </c>
      <c r="U18" s="81" t="n">
        <v>1</v>
      </c>
      <c r="V18" s="37" t="s">
        <v>32</v>
      </c>
      <c r="W18" s="37"/>
    </row>
    <row r="19" customFormat="false" ht="18" hidden="false" customHeight="true" outlineLevel="0" collapsed="false">
      <c r="A19" s="34" t="s">
        <v>163</v>
      </c>
      <c r="B19" s="34" t="s">
        <v>277</v>
      </c>
      <c r="C19" s="34" t="s">
        <v>110</v>
      </c>
      <c r="D19" s="34" t="s">
        <v>338</v>
      </c>
      <c r="E19" s="34" t="s">
        <v>49</v>
      </c>
      <c r="F19" s="34" t="s">
        <v>359</v>
      </c>
      <c r="G19" s="34" t="s">
        <v>164</v>
      </c>
      <c r="H19" s="34" t="s">
        <v>37</v>
      </c>
      <c r="I19" s="34" t="s">
        <v>356</v>
      </c>
      <c r="J19" s="34" t="s">
        <v>357</v>
      </c>
      <c r="K19" s="34" t="s">
        <v>360</v>
      </c>
      <c r="L19" s="38" t="s">
        <v>64</v>
      </c>
      <c r="M19" s="34" t="s">
        <v>336</v>
      </c>
      <c r="N19" s="34" t="s">
        <v>361</v>
      </c>
      <c r="O19" s="78" t="n">
        <v>480000</v>
      </c>
      <c r="P19" s="78" t="n">
        <v>480000</v>
      </c>
      <c r="Q19" s="78" t="n">
        <v>120000</v>
      </c>
      <c r="R19" s="78" t="n">
        <v>450000</v>
      </c>
      <c r="S19" s="79" t="n">
        <v>0.2</v>
      </c>
      <c r="T19" s="79" t="n">
        <v>0.8</v>
      </c>
      <c r="U19" s="79" t="n">
        <v>1</v>
      </c>
      <c r="V19" s="34" t="s">
        <v>32</v>
      </c>
      <c r="W19" s="34"/>
    </row>
    <row r="20" customFormat="false" ht="18" hidden="false" customHeight="true" outlineLevel="0" collapsed="false">
      <c r="A20" s="37" t="s">
        <v>142</v>
      </c>
      <c r="B20" s="37" t="s">
        <v>277</v>
      </c>
      <c r="C20" s="37" t="s">
        <v>137</v>
      </c>
      <c r="D20" s="37" t="s">
        <v>338</v>
      </c>
      <c r="E20" s="37" t="s">
        <v>42</v>
      </c>
      <c r="F20" s="37" t="s">
        <v>362</v>
      </c>
      <c r="G20" s="37" t="s">
        <v>143</v>
      </c>
      <c r="H20" s="37" t="s">
        <v>43</v>
      </c>
      <c r="I20" s="37" t="s">
        <v>42</v>
      </c>
      <c r="J20" s="37" t="s">
        <v>363</v>
      </c>
      <c r="K20" s="37" t="s">
        <v>364</v>
      </c>
      <c r="L20" s="35" t="s">
        <v>63</v>
      </c>
      <c r="M20" s="37" t="s">
        <v>283</v>
      </c>
      <c r="N20" s="37" t="s">
        <v>290</v>
      </c>
      <c r="O20" s="80" t="n">
        <v>950000</v>
      </c>
      <c r="P20" s="80" t="n">
        <v>950000</v>
      </c>
      <c r="Q20" s="80" t="n">
        <v>75000</v>
      </c>
      <c r="R20" s="80" t="n">
        <v>900000</v>
      </c>
      <c r="S20" s="81" t="n">
        <v>0.5</v>
      </c>
      <c r="T20" s="81" t="n">
        <v>1</v>
      </c>
      <c r="U20" s="81" t="n">
        <v>1</v>
      </c>
      <c r="V20" s="37" t="s">
        <v>36</v>
      </c>
      <c r="W20" s="37"/>
    </row>
    <row r="21" customFormat="false" ht="18" hidden="false" customHeight="true" outlineLevel="0" collapsed="false">
      <c r="A21" s="34" t="s">
        <v>144</v>
      </c>
      <c r="B21" s="34" t="s">
        <v>277</v>
      </c>
      <c r="C21" s="34" t="s">
        <v>107</v>
      </c>
      <c r="D21" s="34" t="s">
        <v>338</v>
      </c>
      <c r="E21" s="34" t="s">
        <v>42</v>
      </c>
      <c r="F21" s="34" t="s">
        <v>365</v>
      </c>
      <c r="G21" s="34" t="s">
        <v>145</v>
      </c>
      <c r="H21" s="34" t="s">
        <v>43</v>
      </c>
      <c r="I21" s="34" t="s">
        <v>42</v>
      </c>
      <c r="J21" s="34" t="s">
        <v>363</v>
      </c>
      <c r="K21" s="34" t="s">
        <v>366</v>
      </c>
      <c r="L21" s="35" t="s">
        <v>63</v>
      </c>
      <c r="M21" s="34" t="s">
        <v>297</v>
      </c>
      <c r="N21" s="34" t="s">
        <v>337</v>
      </c>
      <c r="O21" s="78" t="n">
        <v>380000</v>
      </c>
      <c r="P21" s="78" t="n">
        <v>380000</v>
      </c>
      <c r="Q21" s="78" t="n">
        <v>120000</v>
      </c>
      <c r="R21" s="78" t="n">
        <v>360000</v>
      </c>
      <c r="S21" s="79" t="n">
        <v>0.4</v>
      </c>
      <c r="T21" s="79" t="n">
        <v>1</v>
      </c>
      <c r="U21" s="79" t="n">
        <v>1</v>
      </c>
      <c r="V21" s="34" t="s">
        <v>36</v>
      </c>
      <c r="W21" s="34"/>
    </row>
    <row r="22" customFormat="false" ht="18" hidden="false" customHeight="true" outlineLevel="0" collapsed="false">
      <c r="A22" s="37" t="s">
        <v>150</v>
      </c>
      <c r="B22" s="37" t="s">
        <v>277</v>
      </c>
      <c r="C22" s="37" t="s">
        <v>110</v>
      </c>
      <c r="D22" s="37" t="s">
        <v>338</v>
      </c>
      <c r="E22" s="37" t="s">
        <v>45</v>
      </c>
      <c r="F22" s="37" t="s">
        <v>367</v>
      </c>
      <c r="G22" s="37" t="s">
        <v>151</v>
      </c>
      <c r="H22" s="37" t="s">
        <v>47</v>
      </c>
      <c r="I22" s="37" t="s">
        <v>334</v>
      </c>
      <c r="J22" s="37" t="s">
        <v>368</v>
      </c>
      <c r="K22" s="37" t="s">
        <v>369</v>
      </c>
      <c r="L22" s="38" t="s">
        <v>64</v>
      </c>
      <c r="M22" s="37" t="s">
        <v>345</v>
      </c>
      <c r="N22" s="37" t="s">
        <v>346</v>
      </c>
      <c r="O22" s="80" t="n">
        <v>1400000</v>
      </c>
      <c r="P22" s="80" t="n">
        <v>1400000</v>
      </c>
      <c r="Q22" s="80" t="n">
        <v>2200000</v>
      </c>
      <c r="R22" s="80" t="n">
        <v>1350000</v>
      </c>
      <c r="S22" s="81" t="n">
        <v>0.1</v>
      </c>
      <c r="T22" s="81" t="n">
        <v>0.6</v>
      </c>
      <c r="U22" s="81" t="n">
        <v>1</v>
      </c>
      <c r="V22" s="37" t="s">
        <v>36</v>
      </c>
      <c r="W22" s="37"/>
    </row>
    <row r="23" customFormat="false" ht="18" hidden="false" customHeight="true" outlineLevel="0" collapsed="false">
      <c r="A23" s="34" t="s">
        <v>152</v>
      </c>
      <c r="B23" s="34" t="s">
        <v>277</v>
      </c>
      <c r="C23" s="34" t="s">
        <v>137</v>
      </c>
      <c r="D23" s="34" t="s">
        <v>338</v>
      </c>
      <c r="E23" s="34" t="s">
        <v>45</v>
      </c>
      <c r="F23" s="34" t="s">
        <v>370</v>
      </c>
      <c r="G23" s="34" t="s">
        <v>153</v>
      </c>
      <c r="H23" s="34" t="s">
        <v>47</v>
      </c>
      <c r="I23" s="34" t="s">
        <v>334</v>
      </c>
      <c r="J23" s="34" t="s">
        <v>368</v>
      </c>
      <c r="K23" s="34" t="s">
        <v>371</v>
      </c>
      <c r="L23" s="35" t="s">
        <v>63</v>
      </c>
      <c r="M23" s="34" t="s">
        <v>283</v>
      </c>
      <c r="N23" s="34" t="s">
        <v>304</v>
      </c>
      <c r="O23" s="78" t="n">
        <v>420000</v>
      </c>
      <c r="P23" s="78" t="n">
        <v>420000</v>
      </c>
      <c r="Q23" s="78" t="n">
        <v>30000</v>
      </c>
      <c r="R23" s="78" t="n">
        <v>400000</v>
      </c>
      <c r="S23" s="79" t="n">
        <v>0.5</v>
      </c>
      <c r="T23" s="79" t="n">
        <v>1</v>
      </c>
      <c r="U23" s="79" t="n">
        <v>1</v>
      </c>
      <c r="V23" s="34" t="s">
        <v>36</v>
      </c>
      <c r="W23" s="34"/>
    </row>
    <row r="24" customFormat="false" ht="18" hidden="false" customHeight="true" outlineLevel="0" collapsed="false">
      <c r="A24" s="37" t="s">
        <v>154</v>
      </c>
      <c r="B24" s="37" t="s">
        <v>315</v>
      </c>
      <c r="C24" s="37" t="s">
        <v>107</v>
      </c>
      <c r="D24" s="37" t="s">
        <v>338</v>
      </c>
      <c r="E24" s="37" t="s">
        <v>45</v>
      </c>
      <c r="F24" s="37" t="s">
        <v>372</v>
      </c>
      <c r="G24" s="37" t="s">
        <v>155</v>
      </c>
      <c r="H24" s="37" t="s">
        <v>50</v>
      </c>
      <c r="I24" s="37" t="s">
        <v>203</v>
      </c>
      <c r="J24" s="37" t="s">
        <v>373</v>
      </c>
      <c r="K24" s="37" t="s">
        <v>374</v>
      </c>
      <c r="L24" s="35" t="s">
        <v>63</v>
      </c>
      <c r="M24" s="37" t="s">
        <v>342</v>
      </c>
      <c r="N24" s="37" t="s">
        <v>337</v>
      </c>
      <c r="O24" s="80" t="n">
        <v>2800000</v>
      </c>
      <c r="P24" s="80" t="n">
        <v>2800000</v>
      </c>
      <c r="Q24" s="80" t="n">
        <v>200000</v>
      </c>
      <c r="R24" s="80" t="n">
        <v>2700000</v>
      </c>
      <c r="S24" s="81" t="n">
        <v>0.4</v>
      </c>
      <c r="T24" s="81" t="n">
        <v>0.9</v>
      </c>
      <c r="U24" s="81" t="n">
        <v>1</v>
      </c>
      <c r="V24" s="37" t="s">
        <v>156</v>
      </c>
      <c r="W24" s="37"/>
    </row>
    <row r="25" customFormat="false" ht="18" hidden="false" customHeight="true" outlineLevel="0" collapsed="false">
      <c r="A25" s="34" t="s">
        <v>169</v>
      </c>
      <c r="B25" s="34" t="s">
        <v>277</v>
      </c>
      <c r="C25" s="34" t="s">
        <v>110</v>
      </c>
      <c r="D25" s="34" t="s">
        <v>338</v>
      </c>
      <c r="E25" s="34" t="s">
        <v>51</v>
      </c>
      <c r="F25" s="34" t="s">
        <v>375</v>
      </c>
      <c r="G25" s="34" t="s">
        <v>170</v>
      </c>
      <c r="H25" s="34" t="s">
        <v>33</v>
      </c>
      <c r="I25" s="34" t="s">
        <v>376</v>
      </c>
      <c r="J25" s="34" t="s">
        <v>377</v>
      </c>
      <c r="K25" s="34" t="s">
        <v>378</v>
      </c>
      <c r="L25" s="35" t="s">
        <v>63</v>
      </c>
      <c r="M25" s="34" t="s">
        <v>283</v>
      </c>
      <c r="N25" s="34" t="s">
        <v>337</v>
      </c>
      <c r="O25" s="78" t="n">
        <v>760000</v>
      </c>
      <c r="P25" s="78" t="n">
        <v>760000</v>
      </c>
      <c r="Q25" s="78" t="n">
        <v>180000</v>
      </c>
      <c r="R25" s="78" t="n">
        <v>720000</v>
      </c>
      <c r="S25" s="79" t="n">
        <v>0.5</v>
      </c>
      <c r="T25" s="79" t="n">
        <v>1</v>
      </c>
      <c r="U25" s="79" t="n">
        <v>1</v>
      </c>
      <c r="V25" s="34" t="s">
        <v>36</v>
      </c>
      <c r="W25" s="34"/>
    </row>
    <row r="26" customFormat="false" ht="18" hidden="false" customHeight="true" outlineLevel="0" collapsed="false">
      <c r="A26" s="37" t="s">
        <v>171</v>
      </c>
      <c r="B26" s="37" t="s">
        <v>277</v>
      </c>
      <c r="C26" s="37" t="s">
        <v>137</v>
      </c>
      <c r="D26" s="37" t="s">
        <v>338</v>
      </c>
      <c r="E26" s="37" t="s">
        <v>51</v>
      </c>
      <c r="F26" s="37" t="s">
        <v>379</v>
      </c>
      <c r="G26" s="37" t="s">
        <v>172</v>
      </c>
      <c r="H26" s="37" t="s">
        <v>33</v>
      </c>
      <c r="I26" s="37" t="s">
        <v>328</v>
      </c>
      <c r="J26" s="37" t="s">
        <v>380</v>
      </c>
      <c r="K26" s="37" t="s">
        <v>381</v>
      </c>
      <c r="L26" s="49" t="s">
        <v>65</v>
      </c>
      <c r="M26" s="37" t="s">
        <v>283</v>
      </c>
      <c r="N26" s="37" t="s">
        <v>284</v>
      </c>
      <c r="O26" s="80" t="n">
        <v>1100000</v>
      </c>
      <c r="P26" s="80" t="n">
        <v>1100000</v>
      </c>
      <c r="Q26" s="80" t="n">
        <v>0</v>
      </c>
      <c r="R26" s="80" t="n">
        <v>1050000</v>
      </c>
      <c r="S26" s="81" t="n">
        <v>1</v>
      </c>
      <c r="T26" s="81" t="n">
        <v>1</v>
      </c>
      <c r="U26" s="81" t="n">
        <v>1</v>
      </c>
      <c r="V26" s="37" t="s">
        <v>36</v>
      </c>
      <c r="W26" s="37"/>
    </row>
    <row r="27" customFormat="false" ht="18" hidden="false" customHeight="true" outlineLevel="0" collapsed="false">
      <c r="A27" s="34" t="s">
        <v>382</v>
      </c>
      <c r="B27" s="34" t="s">
        <v>315</v>
      </c>
      <c r="C27" s="34" t="s">
        <v>110</v>
      </c>
      <c r="D27" s="34" t="s">
        <v>338</v>
      </c>
      <c r="E27" s="34" t="s">
        <v>35</v>
      </c>
      <c r="F27" s="34" t="s">
        <v>383</v>
      </c>
      <c r="G27" s="34" t="s">
        <v>384</v>
      </c>
      <c r="H27" s="34" t="s">
        <v>33</v>
      </c>
      <c r="I27" s="34" t="s">
        <v>328</v>
      </c>
      <c r="J27" s="34" t="s">
        <v>385</v>
      </c>
      <c r="K27" s="34" t="s">
        <v>386</v>
      </c>
      <c r="L27" s="35" t="s">
        <v>63</v>
      </c>
      <c r="M27" s="34" t="s">
        <v>283</v>
      </c>
      <c r="N27" s="34" t="s">
        <v>290</v>
      </c>
      <c r="O27" s="78" t="n">
        <v>480000</v>
      </c>
      <c r="P27" s="78" t="n">
        <v>480000</v>
      </c>
      <c r="Q27" s="78" t="n">
        <v>25000</v>
      </c>
      <c r="R27" s="78" t="n">
        <v>460000</v>
      </c>
      <c r="S27" s="79" t="n">
        <v>0.5</v>
      </c>
      <c r="T27" s="79" t="n">
        <v>1</v>
      </c>
      <c r="U27" s="79" t="n">
        <v>1</v>
      </c>
      <c r="V27" s="34" t="s">
        <v>36</v>
      </c>
      <c r="W27" s="34"/>
    </row>
    <row r="28" customFormat="false" ht="19.5" hidden="false" customHeight="true" outlineLevel="0" collapsed="false">
      <c r="A28" s="16" t="s">
        <v>111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7" t="n">
        <f aca="false">SUM(O3:O27)</f>
        <v>23480000</v>
      </c>
      <c r="P28" s="17" t="n">
        <f aca="false">SUM(P3:P27)</f>
        <v>23480000</v>
      </c>
      <c r="Q28" s="17" t="n">
        <f aca="false">SUM(Q3:Q27)</f>
        <v>6425000</v>
      </c>
      <c r="R28" s="17" t="n">
        <f aca="false">SUM(R3:R27)</f>
        <v>22460000</v>
      </c>
    </row>
  </sheetData>
  <mergeCells count="2">
    <mergeCell ref="A1:X1"/>
    <mergeCell ref="A28: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V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6"/>
    <col collapsed="false" customWidth="true" hidden="false" outlineLevel="0" max="4" min="4" style="0" width="24"/>
    <col collapsed="false" customWidth="true" hidden="false" outlineLevel="0" max="5" min="5" style="0" width="26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9"/>
    <col collapsed="false" customWidth="true" hidden="false" outlineLevel="0" max="15" min="14" style="0" width="12"/>
    <col collapsed="false" customWidth="true" hidden="false" outlineLevel="0" max="19" min="16" style="0" width="13"/>
    <col collapsed="false" customWidth="true" hidden="false" outlineLevel="0" max="20" min="20" style="0" width="12"/>
  </cols>
  <sheetData>
    <row r="1" customFormat="false" ht="31.5" hidden="false" customHeight="true" outlineLevel="0" collapsed="false">
      <c r="A1" s="31" t="s">
        <v>387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</row>
    <row r="2" customFormat="false" ht="39.75" hidden="false" customHeight="true" outlineLevel="0" collapsed="false">
      <c r="A2" s="7" t="s">
        <v>96</v>
      </c>
      <c r="B2" s="7" t="s">
        <v>12</v>
      </c>
      <c r="C2" s="7" t="s">
        <v>266</v>
      </c>
      <c r="D2" s="7" t="s">
        <v>388</v>
      </c>
      <c r="E2" s="7" t="s">
        <v>389</v>
      </c>
      <c r="F2" s="7" t="s">
        <v>390</v>
      </c>
      <c r="G2" s="7" t="s">
        <v>391</v>
      </c>
      <c r="H2" s="7" t="s">
        <v>392</v>
      </c>
      <c r="I2" s="7" t="s">
        <v>393</v>
      </c>
      <c r="J2" s="7" t="s">
        <v>394</v>
      </c>
      <c r="K2" s="7" t="s">
        <v>395</v>
      </c>
      <c r="L2" s="7" t="s">
        <v>396</v>
      </c>
      <c r="M2" s="7" t="s">
        <v>397</v>
      </c>
      <c r="N2" s="7" t="s">
        <v>398</v>
      </c>
      <c r="O2" s="7" t="s">
        <v>399</v>
      </c>
      <c r="P2" s="7" t="s">
        <v>400</v>
      </c>
      <c r="Q2" s="7" t="s">
        <v>401</v>
      </c>
      <c r="R2" s="7" t="s">
        <v>402</v>
      </c>
      <c r="S2" s="7" t="s">
        <v>403</v>
      </c>
      <c r="T2" s="7" t="s">
        <v>56</v>
      </c>
    </row>
    <row r="3" customFormat="false" ht="18" hidden="false" customHeight="true" outlineLevel="0" collapsed="false">
      <c r="A3" s="34" t="s">
        <v>276</v>
      </c>
      <c r="B3" s="34" t="s">
        <v>107</v>
      </c>
      <c r="C3" s="34" t="s">
        <v>279</v>
      </c>
      <c r="D3" s="34" t="s">
        <v>404</v>
      </c>
      <c r="E3" s="34" t="s">
        <v>405</v>
      </c>
      <c r="F3" s="34" t="s">
        <v>406</v>
      </c>
      <c r="G3" s="34" t="n">
        <v>1</v>
      </c>
      <c r="H3" s="78" t="n">
        <v>280000</v>
      </c>
      <c r="I3" s="78" t="n">
        <v>42000</v>
      </c>
      <c r="J3" s="82" t="n">
        <f aca="false">H3+I3</f>
        <v>322000</v>
      </c>
      <c r="K3" s="82" t="n">
        <f aca="false">J3*0.25</f>
        <v>80500</v>
      </c>
      <c r="L3" s="82" t="n">
        <f aca="false">J3+K3</f>
        <v>402500</v>
      </c>
      <c r="M3" s="83" t="n">
        <v>52</v>
      </c>
      <c r="N3" s="82" t="n">
        <f aca="false">(H3/52)*M3</f>
        <v>280000</v>
      </c>
      <c r="O3" s="78" t="n">
        <v>15000</v>
      </c>
      <c r="P3" s="82" t="n">
        <f aca="false">N3+O3</f>
        <v>295000</v>
      </c>
      <c r="Q3" s="82" t="n">
        <f aca="false">L3</f>
        <v>402500</v>
      </c>
      <c r="R3" s="82" t="n">
        <f aca="false">IFERROR(Q3*VLOOKUP(A3,'Initiative Log'!A:S,19,0),"-")</f>
        <v>201250</v>
      </c>
      <c r="S3" s="82" t="n">
        <f aca="false">Q3</f>
        <v>402500</v>
      </c>
      <c r="T3" s="84" t="str">
        <f aca="false">IFERROR(VLOOKUP(A3,'Initiative Log'!A:L,12,0),"")</f>
        <v>Active</v>
      </c>
    </row>
    <row r="4" customFormat="false" ht="18" hidden="false" customHeight="true" outlineLevel="0" collapsed="false">
      <c r="A4" s="37" t="s">
        <v>285</v>
      </c>
      <c r="B4" s="37" t="s">
        <v>107</v>
      </c>
      <c r="C4" s="37" t="s">
        <v>288</v>
      </c>
      <c r="D4" s="37" t="s">
        <v>404</v>
      </c>
      <c r="E4" s="37" t="s">
        <v>407</v>
      </c>
      <c r="F4" s="37" t="s">
        <v>408</v>
      </c>
      <c r="G4" s="37" t="n">
        <v>1</v>
      </c>
      <c r="H4" s="80" t="n">
        <v>185000</v>
      </c>
      <c r="I4" s="80" t="n">
        <v>27750</v>
      </c>
      <c r="J4" s="85" t="n">
        <f aca="false">H4+I4</f>
        <v>212750</v>
      </c>
      <c r="K4" s="85" t="n">
        <f aca="false">J4*0.25</f>
        <v>53187.5</v>
      </c>
      <c r="L4" s="85" t="n">
        <f aca="false">J4+K4</f>
        <v>265937.5</v>
      </c>
      <c r="M4" s="86" t="n">
        <v>26</v>
      </c>
      <c r="N4" s="85" t="n">
        <f aca="false">(H4/52)*M4</f>
        <v>92500</v>
      </c>
      <c r="O4" s="80" t="n">
        <v>8000</v>
      </c>
      <c r="P4" s="85" t="n">
        <f aca="false">N4+O4</f>
        <v>100500</v>
      </c>
      <c r="Q4" s="85" t="n">
        <f aca="false">L4</f>
        <v>265937.5</v>
      </c>
      <c r="R4" s="85" t="n">
        <f aca="false">IFERROR(Q4*VLOOKUP(A4,'Initiative Log'!A:S,19,0),"-")</f>
        <v>106375</v>
      </c>
      <c r="S4" s="85" t="n">
        <f aca="false">Q4</f>
        <v>265937.5</v>
      </c>
      <c r="T4" s="87" t="str">
        <f aca="false">IFERROR(VLOOKUP(A4,'Initiative Log'!A:L,12,0),"")</f>
        <v>Active</v>
      </c>
    </row>
    <row r="5" customFormat="false" ht="18" hidden="false" customHeight="true" outlineLevel="0" collapsed="false">
      <c r="A5" s="34" t="s">
        <v>285</v>
      </c>
      <c r="B5" s="34" t="s">
        <v>107</v>
      </c>
      <c r="C5" s="34" t="s">
        <v>288</v>
      </c>
      <c r="D5" s="34" t="s">
        <v>409</v>
      </c>
      <c r="E5" s="34" t="s">
        <v>410</v>
      </c>
      <c r="F5" s="34" t="s">
        <v>408</v>
      </c>
      <c r="G5" s="34" t="n">
        <v>1</v>
      </c>
      <c r="H5" s="78" t="n">
        <v>175000</v>
      </c>
      <c r="I5" s="78" t="n">
        <v>21000</v>
      </c>
      <c r="J5" s="82" t="n">
        <f aca="false">H5+I5</f>
        <v>196000</v>
      </c>
      <c r="K5" s="82" t="n">
        <f aca="false">J5*0.25</f>
        <v>49000</v>
      </c>
      <c r="L5" s="82" t="n">
        <f aca="false">J5+K5</f>
        <v>245000</v>
      </c>
      <c r="M5" s="83" t="n">
        <v>26</v>
      </c>
      <c r="N5" s="82" t="n">
        <f aca="false">(H5/52)*M5</f>
        <v>87500</v>
      </c>
      <c r="O5" s="78" t="n">
        <v>8000</v>
      </c>
      <c r="P5" s="82" t="n">
        <f aca="false">N5+O5</f>
        <v>95500</v>
      </c>
      <c r="Q5" s="82" t="n">
        <f aca="false">L5</f>
        <v>245000</v>
      </c>
      <c r="R5" s="82" t="n">
        <f aca="false">IFERROR(Q5*VLOOKUP(A5,'Initiative Log'!A:S,19,0),"-")</f>
        <v>98000</v>
      </c>
      <c r="S5" s="82" t="n">
        <f aca="false">Q5</f>
        <v>245000</v>
      </c>
      <c r="T5" s="84" t="str">
        <f aca="false">IFERROR(VLOOKUP(A5,'Initiative Log'!A:L,12,0),"")</f>
        <v>Active</v>
      </c>
    </row>
    <row r="6" customFormat="false" ht="18" hidden="false" customHeight="true" outlineLevel="0" collapsed="false">
      <c r="A6" s="37" t="s">
        <v>291</v>
      </c>
      <c r="B6" s="37" t="s">
        <v>110</v>
      </c>
      <c r="C6" s="37" t="s">
        <v>294</v>
      </c>
      <c r="D6" s="37" t="s">
        <v>404</v>
      </c>
      <c r="E6" s="37" t="s">
        <v>411</v>
      </c>
      <c r="F6" s="37" t="s">
        <v>412</v>
      </c>
      <c r="G6" s="37" t="n">
        <v>1</v>
      </c>
      <c r="H6" s="80" t="n">
        <v>135000</v>
      </c>
      <c r="I6" s="80" t="n">
        <v>27000</v>
      </c>
      <c r="J6" s="85" t="n">
        <f aca="false">H6+I6</f>
        <v>162000</v>
      </c>
      <c r="K6" s="85" t="n">
        <f aca="false">J6*0.25</f>
        <v>40500</v>
      </c>
      <c r="L6" s="85" t="n">
        <f aca="false">J6+K6</f>
        <v>202500</v>
      </c>
      <c r="M6" s="86" t="n">
        <v>16</v>
      </c>
      <c r="N6" s="85" t="n">
        <f aca="false">(H6/52)*M6</f>
        <v>41538.4615384615</v>
      </c>
      <c r="O6" s="80" t="n">
        <v>5000</v>
      </c>
      <c r="P6" s="85" t="n">
        <f aca="false">N6+O6</f>
        <v>46538.4615384615</v>
      </c>
      <c r="Q6" s="85" t="n">
        <f aca="false">L6</f>
        <v>202500</v>
      </c>
      <c r="R6" s="85" t="n">
        <f aca="false">IFERROR(Q6*VLOOKUP(A6,'Initiative Log'!A:S,19,0),"-")</f>
        <v>101250</v>
      </c>
      <c r="S6" s="85" t="n">
        <f aca="false">Q6</f>
        <v>202500</v>
      </c>
      <c r="T6" s="87" t="str">
        <f aca="false">IFERROR(VLOOKUP(A6,'Initiative Log'!A:L,12,0),"")</f>
        <v>Active</v>
      </c>
    </row>
    <row r="7" customFormat="false" ht="18" hidden="false" customHeight="true" outlineLevel="0" collapsed="false">
      <c r="A7" s="34" t="s">
        <v>291</v>
      </c>
      <c r="B7" s="34" t="s">
        <v>110</v>
      </c>
      <c r="C7" s="34" t="s">
        <v>294</v>
      </c>
      <c r="D7" s="34" t="s">
        <v>404</v>
      </c>
      <c r="E7" s="34" t="s">
        <v>413</v>
      </c>
      <c r="F7" s="34" t="s">
        <v>412</v>
      </c>
      <c r="G7" s="34" t="n">
        <v>1</v>
      </c>
      <c r="H7" s="78" t="n">
        <v>130000</v>
      </c>
      <c r="I7" s="78" t="n">
        <v>26000</v>
      </c>
      <c r="J7" s="82" t="n">
        <f aca="false">H7+I7</f>
        <v>156000</v>
      </c>
      <c r="K7" s="82" t="n">
        <f aca="false">J7*0.25</f>
        <v>39000</v>
      </c>
      <c r="L7" s="82" t="n">
        <f aca="false">J7+K7</f>
        <v>195000</v>
      </c>
      <c r="M7" s="83" t="n">
        <v>16</v>
      </c>
      <c r="N7" s="82" t="n">
        <f aca="false">(H7/52)*M7</f>
        <v>40000</v>
      </c>
      <c r="O7" s="78" t="n">
        <v>5000</v>
      </c>
      <c r="P7" s="82" t="n">
        <f aca="false">N7+O7</f>
        <v>45000</v>
      </c>
      <c r="Q7" s="82" t="n">
        <f aca="false">L7</f>
        <v>195000</v>
      </c>
      <c r="R7" s="82" t="n">
        <f aca="false">IFERROR(Q7*VLOOKUP(A7,'Initiative Log'!A:S,19,0),"-")</f>
        <v>97500</v>
      </c>
      <c r="S7" s="82" t="n">
        <f aca="false">Q7</f>
        <v>195000</v>
      </c>
      <c r="T7" s="84" t="str">
        <f aca="false">IFERROR(VLOOKUP(A7,'Initiative Log'!A:L,12,0),"")</f>
        <v>Active</v>
      </c>
    </row>
    <row r="8" customFormat="false" ht="18" hidden="false" customHeight="true" outlineLevel="0" collapsed="false">
      <c r="A8" s="37" t="s">
        <v>291</v>
      </c>
      <c r="B8" s="37" t="s">
        <v>110</v>
      </c>
      <c r="C8" s="37" t="s">
        <v>294</v>
      </c>
      <c r="D8" s="37" t="s">
        <v>404</v>
      </c>
      <c r="E8" s="37" t="s">
        <v>414</v>
      </c>
      <c r="F8" s="37" t="s">
        <v>412</v>
      </c>
      <c r="G8" s="37" t="n">
        <v>1</v>
      </c>
      <c r="H8" s="80" t="n">
        <v>140000</v>
      </c>
      <c r="I8" s="80" t="n">
        <v>28000</v>
      </c>
      <c r="J8" s="85" t="n">
        <f aca="false">H8+I8</f>
        <v>168000</v>
      </c>
      <c r="K8" s="85" t="n">
        <f aca="false">J8*0.25</f>
        <v>42000</v>
      </c>
      <c r="L8" s="85" t="n">
        <f aca="false">J8+K8</f>
        <v>210000</v>
      </c>
      <c r="M8" s="86" t="n">
        <v>16</v>
      </c>
      <c r="N8" s="85" t="n">
        <f aca="false">(H8/52)*M8</f>
        <v>43076.9230769231</v>
      </c>
      <c r="O8" s="80" t="n">
        <v>5000</v>
      </c>
      <c r="P8" s="85" t="n">
        <f aca="false">N8+O8</f>
        <v>48076.9230769231</v>
      </c>
      <c r="Q8" s="85" t="n">
        <f aca="false">L8</f>
        <v>210000</v>
      </c>
      <c r="R8" s="85" t="n">
        <f aca="false">IFERROR(Q8*VLOOKUP(A8,'Initiative Log'!A:S,19,0),"-")</f>
        <v>105000</v>
      </c>
      <c r="S8" s="85" t="n">
        <f aca="false">Q8</f>
        <v>210000</v>
      </c>
      <c r="T8" s="87" t="str">
        <f aca="false">IFERROR(VLOOKUP(A8,'Initiative Log'!A:L,12,0),"")</f>
        <v>Active</v>
      </c>
    </row>
    <row r="9" customFormat="false" ht="18" hidden="false" customHeight="true" outlineLevel="0" collapsed="false">
      <c r="A9" s="34" t="s">
        <v>298</v>
      </c>
      <c r="B9" s="34" t="s">
        <v>110</v>
      </c>
      <c r="C9" s="34" t="s">
        <v>301</v>
      </c>
      <c r="D9" s="34" t="s">
        <v>404</v>
      </c>
      <c r="E9" s="34" t="s">
        <v>415</v>
      </c>
      <c r="F9" s="34" t="s">
        <v>299</v>
      </c>
      <c r="G9" s="34" t="n">
        <v>1</v>
      </c>
      <c r="H9" s="78" t="n">
        <v>110000</v>
      </c>
      <c r="I9" s="78" t="n">
        <v>11000</v>
      </c>
      <c r="J9" s="82" t="n">
        <f aca="false">H9+I9</f>
        <v>121000</v>
      </c>
      <c r="K9" s="82" t="n">
        <f aca="false">J9*0.25</f>
        <v>30250</v>
      </c>
      <c r="L9" s="82" t="n">
        <f aca="false">J9+K9</f>
        <v>151250</v>
      </c>
      <c r="M9" s="83" t="n">
        <v>12</v>
      </c>
      <c r="N9" s="82" t="n">
        <f aca="false">(H9/52)*M9</f>
        <v>25384.6153846154</v>
      </c>
      <c r="O9" s="78" t="n">
        <v>2500</v>
      </c>
      <c r="P9" s="82" t="n">
        <f aca="false">N9+O9</f>
        <v>27884.6153846154</v>
      </c>
      <c r="Q9" s="82" t="n">
        <f aca="false">L9</f>
        <v>151250</v>
      </c>
      <c r="R9" s="82" t="n">
        <f aca="false">IFERROR(Q9*VLOOKUP(A9,'Initiative Log'!A:S,19,0),"-")</f>
        <v>30250</v>
      </c>
      <c r="S9" s="82" t="n">
        <f aca="false">Q9</f>
        <v>151250</v>
      </c>
      <c r="T9" s="84" t="str">
        <f aca="false">IFERROR(VLOOKUP(A9,'Initiative Log'!A:L,12,0),"")</f>
        <v>Pipeline</v>
      </c>
    </row>
    <row r="10" customFormat="false" ht="18" hidden="false" customHeight="true" outlineLevel="0" collapsed="false">
      <c r="A10" s="37" t="s">
        <v>298</v>
      </c>
      <c r="B10" s="37" t="s">
        <v>110</v>
      </c>
      <c r="C10" s="37" t="s">
        <v>301</v>
      </c>
      <c r="D10" s="37" t="s">
        <v>404</v>
      </c>
      <c r="E10" s="37" t="s">
        <v>416</v>
      </c>
      <c r="F10" s="37" t="s">
        <v>299</v>
      </c>
      <c r="G10" s="37" t="n">
        <v>1</v>
      </c>
      <c r="H10" s="80" t="n">
        <v>95000</v>
      </c>
      <c r="I10" s="80" t="n">
        <v>9500</v>
      </c>
      <c r="J10" s="85" t="n">
        <f aca="false">H10+I10</f>
        <v>104500</v>
      </c>
      <c r="K10" s="85" t="n">
        <f aca="false">J10*0.25</f>
        <v>26125</v>
      </c>
      <c r="L10" s="85" t="n">
        <f aca="false">J10+K10</f>
        <v>130625</v>
      </c>
      <c r="M10" s="86" t="n">
        <v>12</v>
      </c>
      <c r="N10" s="85" t="n">
        <f aca="false">(H10/52)*M10</f>
        <v>21923.0769230769</v>
      </c>
      <c r="O10" s="80" t="n">
        <v>2500</v>
      </c>
      <c r="P10" s="85" t="n">
        <f aca="false">N10+O10</f>
        <v>24423.0769230769</v>
      </c>
      <c r="Q10" s="85" t="n">
        <f aca="false">L10</f>
        <v>130625</v>
      </c>
      <c r="R10" s="85" t="n">
        <f aca="false">IFERROR(Q10*VLOOKUP(A10,'Initiative Log'!A:S,19,0),"-")</f>
        <v>26125</v>
      </c>
      <c r="S10" s="85" t="n">
        <f aca="false">Q10</f>
        <v>130625</v>
      </c>
      <c r="T10" s="87" t="str">
        <f aca="false">IFERROR(VLOOKUP(A10,'Initiative Log'!A:L,12,0),"")</f>
        <v>Pipeline</v>
      </c>
    </row>
    <row r="11" customFormat="false" ht="18" hidden="false" customHeight="true" outlineLevel="0" collapsed="false">
      <c r="A11" s="34" t="s">
        <v>305</v>
      </c>
      <c r="B11" s="34" t="s">
        <v>137</v>
      </c>
      <c r="C11" s="34" t="s">
        <v>42</v>
      </c>
      <c r="D11" s="34" t="s">
        <v>404</v>
      </c>
      <c r="E11" s="34" t="s">
        <v>417</v>
      </c>
      <c r="F11" s="34" t="s">
        <v>412</v>
      </c>
      <c r="G11" s="34" t="n">
        <v>1</v>
      </c>
      <c r="H11" s="78" t="n">
        <v>155000</v>
      </c>
      <c r="I11" s="78" t="n">
        <v>23250</v>
      </c>
      <c r="J11" s="82" t="n">
        <f aca="false">H11+I11</f>
        <v>178250</v>
      </c>
      <c r="K11" s="82" t="n">
        <f aca="false">J11*0.25</f>
        <v>44562.5</v>
      </c>
      <c r="L11" s="82" t="n">
        <f aca="false">J11+K11</f>
        <v>222812.5</v>
      </c>
      <c r="M11" s="83" t="n">
        <v>16</v>
      </c>
      <c r="N11" s="82" t="n">
        <f aca="false">(H11/52)*M11</f>
        <v>47692.3076923077</v>
      </c>
      <c r="O11" s="78" t="n">
        <v>5000</v>
      </c>
      <c r="P11" s="82" t="n">
        <f aca="false">N11+O11</f>
        <v>52692.3076923077</v>
      </c>
      <c r="Q11" s="82" t="n">
        <f aca="false">L11</f>
        <v>222812.5</v>
      </c>
      <c r="R11" s="82" t="n">
        <f aca="false">IFERROR(Q11*VLOOKUP(A11,'Initiative Log'!A:S,19,0),"-")</f>
        <v>111406.25</v>
      </c>
      <c r="S11" s="82" t="n">
        <f aca="false">Q11</f>
        <v>222812.5</v>
      </c>
      <c r="T11" s="84" t="str">
        <f aca="false">IFERROR(VLOOKUP(A11,'Initiative Log'!A:L,12,0),"")</f>
        <v>Active</v>
      </c>
    </row>
    <row r="12" customFormat="false" ht="18" hidden="false" customHeight="true" outlineLevel="0" collapsed="false">
      <c r="A12" s="37" t="s">
        <v>309</v>
      </c>
      <c r="B12" s="37" t="s">
        <v>137</v>
      </c>
      <c r="C12" s="37" t="s">
        <v>294</v>
      </c>
      <c r="D12" s="37" t="s">
        <v>404</v>
      </c>
      <c r="E12" s="37" t="s">
        <v>418</v>
      </c>
      <c r="F12" s="37" t="s">
        <v>299</v>
      </c>
      <c r="G12" s="37" t="n">
        <v>1</v>
      </c>
      <c r="H12" s="80" t="n">
        <v>72000</v>
      </c>
      <c r="I12" s="80" t="n">
        <v>10800</v>
      </c>
      <c r="J12" s="85" t="n">
        <f aca="false">H12+I12</f>
        <v>82800</v>
      </c>
      <c r="K12" s="85" t="n">
        <f aca="false">J12*0.25</f>
        <v>20700</v>
      </c>
      <c r="L12" s="85" t="n">
        <f aca="false">J12+K12</f>
        <v>103500</v>
      </c>
      <c r="M12" s="86" t="n">
        <v>12</v>
      </c>
      <c r="N12" s="85" t="n">
        <f aca="false">(H12/52)*M12</f>
        <v>16615.3846153846</v>
      </c>
      <c r="O12" s="80" t="n">
        <v>2500</v>
      </c>
      <c r="P12" s="85" t="n">
        <f aca="false">N12+O12</f>
        <v>19115.3846153846</v>
      </c>
      <c r="Q12" s="85" t="n">
        <f aca="false">L12</f>
        <v>103500</v>
      </c>
      <c r="R12" s="85" t="n">
        <f aca="false">IFERROR(Q12*VLOOKUP(A12,'Initiative Log'!A:S,19,0),"-")</f>
        <v>20700</v>
      </c>
      <c r="S12" s="85" t="n">
        <f aca="false">Q12</f>
        <v>103500</v>
      </c>
      <c r="T12" s="87" t="str">
        <f aca="false">IFERROR(VLOOKUP(A12,'Initiative Log'!A:L,12,0),"")</f>
        <v>Pipeline</v>
      </c>
    </row>
    <row r="13" customFormat="false" ht="18" hidden="false" customHeight="true" outlineLevel="0" collapsed="false">
      <c r="A13" s="34" t="s">
        <v>309</v>
      </c>
      <c r="B13" s="34" t="s">
        <v>137</v>
      </c>
      <c r="C13" s="34" t="s">
        <v>294</v>
      </c>
      <c r="D13" s="34" t="s">
        <v>404</v>
      </c>
      <c r="E13" s="34" t="s">
        <v>418</v>
      </c>
      <c r="F13" s="34" t="s">
        <v>299</v>
      </c>
      <c r="G13" s="34" t="n">
        <v>1</v>
      </c>
      <c r="H13" s="78" t="n">
        <v>68000</v>
      </c>
      <c r="I13" s="78" t="n">
        <v>10200</v>
      </c>
      <c r="J13" s="82" t="n">
        <f aca="false">H13+I13</f>
        <v>78200</v>
      </c>
      <c r="K13" s="82" t="n">
        <f aca="false">J13*0.25</f>
        <v>19550</v>
      </c>
      <c r="L13" s="82" t="n">
        <f aca="false">J13+K13</f>
        <v>97750</v>
      </c>
      <c r="M13" s="83" t="n">
        <v>12</v>
      </c>
      <c r="N13" s="82" t="n">
        <f aca="false">(H13/52)*M13</f>
        <v>15692.3076923077</v>
      </c>
      <c r="O13" s="78" t="n">
        <v>2500</v>
      </c>
      <c r="P13" s="82" t="n">
        <f aca="false">N13+O13</f>
        <v>18192.3076923077</v>
      </c>
      <c r="Q13" s="82" t="n">
        <f aca="false">L13</f>
        <v>97750</v>
      </c>
      <c r="R13" s="82" t="n">
        <f aca="false">IFERROR(Q13*VLOOKUP(A13,'Initiative Log'!A:S,19,0),"-")</f>
        <v>19550</v>
      </c>
      <c r="S13" s="82" t="n">
        <f aca="false">Q13</f>
        <v>97750</v>
      </c>
      <c r="T13" s="84" t="str">
        <f aca="false">IFERROR(VLOOKUP(A13,'Initiative Log'!A:L,12,0),"")</f>
        <v>Pipeline</v>
      </c>
    </row>
    <row r="14" customFormat="false" ht="18" hidden="false" customHeight="true" outlineLevel="0" collapsed="false">
      <c r="A14" s="37" t="s">
        <v>309</v>
      </c>
      <c r="B14" s="37" t="s">
        <v>137</v>
      </c>
      <c r="C14" s="37" t="s">
        <v>294</v>
      </c>
      <c r="D14" s="37" t="s">
        <v>404</v>
      </c>
      <c r="E14" s="37" t="s">
        <v>418</v>
      </c>
      <c r="F14" s="37" t="s">
        <v>299</v>
      </c>
      <c r="G14" s="37" t="n">
        <v>1</v>
      </c>
      <c r="H14" s="80" t="n">
        <v>70000</v>
      </c>
      <c r="I14" s="80" t="n">
        <v>10500</v>
      </c>
      <c r="J14" s="85" t="n">
        <f aca="false">H14+I14</f>
        <v>80500</v>
      </c>
      <c r="K14" s="85" t="n">
        <f aca="false">J14*0.25</f>
        <v>20125</v>
      </c>
      <c r="L14" s="85" t="n">
        <f aca="false">J14+K14</f>
        <v>100625</v>
      </c>
      <c r="M14" s="86" t="n">
        <v>12</v>
      </c>
      <c r="N14" s="85" t="n">
        <f aca="false">(H14/52)*M14</f>
        <v>16153.8461538462</v>
      </c>
      <c r="O14" s="80" t="n">
        <v>2500</v>
      </c>
      <c r="P14" s="85" t="n">
        <f aca="false">N14+O14</f>
        <v>18653.8461538462</v>
      </c>
      <c r="Q14" s="85" t="n">
        <f aca="false">L14</f>
        <v>100625</v>
      </c>
      <c r="R14" s="85" t="n">
        <f aca="false">IFERROR(Q14*VLOOKUP(A14,'Initiative Log'!A:S,19,0),"-")</f>
        <v>20125</v>
      </c>
      <c r="S14" s="85" t="n">
        <f aca="false">Q14</f>
        <v>100625</v>
      </c>
      <c r="T14" s="87" t="str">
        <f aca="false">IFERROR(VLOOKUP(A14,'Initiative Log'!A:L,12,0),"")</f>
        <v>Pipeline</v>
      </c>
    </row>
    <row r="15" customFormat="false" ht="18" hidden="false" customHeight="true" outlineLevel="0" collapsed="false">
      <c r="A15" s="34" t="s">
        <v>309</v>
      </c>
      <c r="B15" s="34" t="s">
        <v>137</v>
      </c>
      <c r="C15" s="34" t="s">
        <v>294</v>
      </c>
      <c r="D15" s="34" t="s">
        <v>404</v>
      </c>
      <c r="E15" s="34" t="s">
        <v>418</v>
      </c>
      <c r="F15" s="34" t="s">
        <v>299</v>
      </c>
      <c r="G15" s="34" t="n">
        <v>1</v>
      </c>
      <c r="H15" s="78" t="n">
        <v>71000</v>
      </c>
      <c r="I15" s="78" t="n">
        <v>10650</v>
      </c>
      <c r="J15" s="82" t="n">
        <f aca="false">H15+I15</f>
        <v>81650</v>
      </c>
      <c r="K15" s="82" t="n">
        <f aca="false">J15*0.25</f>
        <v>20412.5</v>
      </c>
      <c r="L15" s="82" t="n">
        <f aca="false">J15+K15</f>
        <v>102062.5</v>
      </c>
      <c r="M15" s="83" t="n">
        <v>12</v>
      </c>
      <c r="N15" s="82" t="n">
        <f aca="false">(H15/52)*M15</f>
        <v>16384.6153846154</v>
      </c>
      <c r="O15" s="78" t="n">
        <v>2500</v>
      </c>
      <c r="P15" s="82" t="n">
        <f aca="false">N15+O15</f>
        <v>18884.6153846154</v>
      </c>
      <c r="Q15" s="82" t="n">
        <f aca="false">L15</f>
        <v>102062.5</v>
      </c>
      <c r="R15" s="82" t="n">
        <f aca="false">IFERROR(Q15*VLOOKUP(A15,'Initiative Log'!A:S,19,0),"-")</f>
        <v>20412.5</v>
      </c>
      <c r="S15" s="82" t="n">
        <f aca="false">Q15</f>
        <v>102062.5</v>
      </c>
      <c r="T15" s="84" t="str">
        <f aca="false">IFERROR(VLOOKUP(A15,'Initiative Log'!A:L,12,0),"")</f>
        <v>Pipeline</v>
      </c>
    </row>
    <row r="16" customFormat="false" ht="18" hidden="false" customHeight="true" outlineLevel="0" collapsed="false">
      <c r="A16" s="37" t="s">
        <v>314</v>
      </c>
      <c r="B16" s="37" t="s">
        <v>107</v>
      </c>
      <c r="C16" s="37" t="s">
        <v>317</v>
      </c>
      <c r="D16" s="37" t="s">
        <v>404</v>
      </c>
      <c r="E16" s="37" t="s">
        <v>419</v>
      </c>
      <c r="F16" s="37" t="s">
        <v>299</v>
      </c>
      <c r="G16" s="37" t="n">
        <v>1</v>
      </c>
      <c r="H16" s="80" t="n">
        <v>115000</v>
      </c>
      <c r="I16" s="80" t="n">
        <v>11500</v>
      </c>
      <c r="J16" s="85" t="n">
        <f aca="false">H16+I16</f>
        <v>126500</v>
      </c>
      <c r="K16" s="85" t="n">
        <f aca="false">J16*0.25</f>
        <v>31625</v>
      </c>
      <c r="L16" s="85" t="n">
        <f aca="false">J16+K16</f>
        <v>158125</v>
      </c>
      <c r="M16" s="86" t="n">
        <v>12</v>
      </c>
      <c r="N16" s="85" t="n">
        <f aca="false">(H16/52)*M16</f>
        <v>26538.4615384615</v>
      </c>
      <c r="O16" s="80" t="n">
        <v>2500</v>
      </c>
      <c r="P16" s="85" t="n">
        <f aca="false">N16+O16</f>
        <v>29038.4615384615</v>
      </c>
      <c r="Q16" s="85" t="n">
        <f aca="false">L16</f>
        <v>158125</v>
      </c>
      <c r="R16" s="85" t="n">
        <f aca="false">IFERROR(Q16*VLOOKUP(A16,'Initiative Log'!A:S,19,0),"-")</f>
        <v>63250</v>
      </c>
      <c r="S16" s="85" t="n">
        <f aca="false">Q16</f>
        <v>158125</v>
      </c>
      <c r="T16" s="87" t="str">
        <f aca="false">IFERROR(VLOOKUP(A16,'Initiative Log'!A:L,12,0),"")</f>
        <v>Active</v>
      </c>
    </row>
    <row r="17" customFormat="false" ht="18" hidden="false" customHeight="true" outlineLevel="0" collapsed="false">
      <c r="A17" s="34" t="s">
        <v>314</v>
      </c>
      <c r="B17" s="34" t="s">
        <v>107</v>
      </c>
      <c r="C17" s="34" t="s">
        <v>317</v>
      </c>
      <c r="D17" s="34" t="s">
        <v>404</v>
      </c>
      <c r="E17" s="34" t="s">
        <v>420</v>
      </c>
      <c r="F17" s="34" t="s">
        <v>299</v>
      </c>
      <c r="G17" s="34" t="n">
        <v>1</v>
      </c>
      <c r="H17" s="78" t="n">
        <v>125000</v>
      </c>
      <c r="I17" s="78" t="n">
        <v>12500</v>
      </c>
      <c r="J17" s="82" t="n">
        <f aca="false">H17+I17</f>
        <v>137500</v>
      </c>
      <c r="K17" s="82" t="n">
        <f aca="false">J17*0.25</f>
        <v>34375</v>
      </c>
      <c r="L17" s="82" t="n">
        <f aca="false">J17+K17</f>
        <v>171875</v>
      </c>
      <c r="M17" s="83" t="n">
        <v>12</v>
      </c>
      <c r="N17" s="82" t="n">
        <f aca="false">(H17/52)*M17</f>
        <v>28846.1538461538</v>
      </c>
      <c r="O17" s="78" t="n">
        <v>2500</v>
      </c>
      <c r="P17" s="82" t="n">
        <f aca="false">N17+O17</f>
        <v>31346.1538461538</v>
      </c>
      <c r="Q17" s="82" t="n">
        <f aca="false">L17</f>
        <v>171875</v>
      </c>
      <c r="R17" s="82" t="n">
        <f aca="false">IFERROR(Q17*VLOOKUP(A17,'Initiative Log'!A:S,19,0),"-")</f>
        <v>68750</v>
      </c>
      <c r="S17" s="82" t="n">
        <f aca="false">Q17</f>
        <v>171875</v>
      </c>
      <c r="T17" s="84" t="str">
        <f aca="false">IFERROR(VLOOKUP(A17,'Initiative Log'!A:L,12,0),"")</f>
        <v>Active</v>
      </c>
    </row>
    <row r="18" customFormat="false" ht="18" hidden="false" customHeight="true" outlineLevel="0" collapsed="false">
      <c r="A18" s="37" t="s">
        <v>321</v>
      </c>
      <c r="B18" s="37" t="s">
        <v>110</v>
      </c>
      <c r="C18" s="37" t="s">
        <v>323</v>
      </c>
      <c r="D18" s="37" t="s">
        <v>404</v>
      </c>
      <c r="E18" s="37" t="s">
        <v>421</v>
      </c>
      <c r="F18" s="37" t="s">
        <v>408</v>
      </c>
      <c r="G18" s="37" t="n">
        <v>1</v>
      </c>
      <c r="H18" s="80" t="n">
        <v>195000</v>
      </c>
      <c r="I18" s="80" t="n">
        <v>29250</v>
      </c>
      <c r="J18" s="85" t="n">
        <f aca="false">H18+I18</f>
        <v>224250</v>
      </c>
      <c r="K18" s="85" t="n">
        <f aca="false">J18*0.25</f>
        <v>56062.5</v>
      </c>
      <c r="L18" s="85" t="n">
        <f aca="false">J18+K18</f>
        <v>280312.5</v>
      </c>
      <c r="M18" s="86" t="n">
        <v>26</v>
      </c>
      <c r="N18" s="85" t="n">
        <f aca="false">(H18/52)*M18</f>
        <v>97500</v>
      </c>
      <c r="O18" s="80" t="n">
        <v>8000</v>
      </c>
      <c r="P18" s="85" t="n">
        <f aca="false">N18+O18</f>
        <v>105500</v>
      </c>
      <c r="Q18" s="85" t="n">
        <f aca="false">L18</f>
        <v>280312.5</v>
      </c>
      <c r="R18" s="85" t="n">
        <f aca="false">IFERROR(Q18*VLOOKUP(A18,'Initiative Log'!A:S,19,0),"-")</f>
        <v>140156.25</v>
      </c>
      <c r="S18" s="85" t="n">
        <f aca="false">Q18</f>
        <v>280312.5</v>
      </c>
      <c r="T18" s="87" t="str">
        <f aca="false">IFERROR(VLOOKUP(A18,'Initiative Log'!A:L,12,0),"")</f>
        <v>Active</v>
      </c>
    </row>
    <row r="19" customFormat="false" ht="18" hidden="false" customHeight="true" outlineLevel="0" collapsed="false">
      <c r="A19" s="34" t="s">
        <v>326</v>
      </c>
      <c r="B19" s="34" t="s">
        <v>137</v>
      </c>
      <c r="C19" s="34" t="s">
        <v>328</v>
      </c>
      <c r="D19" s="34" t="s">
        <v>404</v>
      </c>
      <c r="E19" s="34" t="s">
        <v>422</v>
      </c>
      <c r="F19" s="34" t="s">
        <v>299</v>
      </c>
      <c r="G19" s="34" t="n">
        <v>1</v>
      </c>
      <c r="H19" s="78" t="n">
        <v>88000</v>
      </c>
      <c r="I19" s="78" t="n">
        <v>8800</v>
      </c>
      <c r="J19" s="82" t="n">
        <f aca="false">H19+I19</f>
        <v>96800</v>
      </c>
      <c r="K19" s="82" t="n">
        <f aca="false">J19*0.25</f>
        <v>24200</v>
      </c>
      <c r="L19" s="82" t="n">
        <f aca="false">J19+K19</f>
        <v>121000</v>
      </c>
      <c r="M19" s="83" t="n">
        <v>12</v>
      </c>
      <c r="N19" s="82" t="n">
        <f aca="false">(H19/52)*M19</f>
        <v>20307.6923076923</v>
      </c>
      <c r="O19" s="78" t="n">
        <v>2500</v>
      </c>
      <c r="P19" s="82" t="n">
        <f aca="false">N19+O19</f>
        <v>22807.6923076923</v>
      </c>
      <c r="Q19" s="82" t="n">
        <f aca="false">L19</f>
        <v>121000</v>
      </c>
      <c r="R19" s="82" t="n">
        <f aca="false">IFERROR(Q19*VLOOKUP(A19,'Initiative Log'!A:S,19,0),"-")</f>
        <v>121000</v>
      </c>
      <c r="S19" s="82" t="n">
        <f aca="false">Q19</f>
        <v>121000</v>
      </c>
      <c r="T19" s="84" t="str">
        <f aca="false">IFERROR(VLOOKUP(A19,'Initiative Log'!A:L,12,0),"")</f>
        <v>Complete</v>
      </c>
    </row>
    <row r="20" customFormat="false" ht="18" hidden="false" customHeight="true" outlineLevel="0" collapsed="false">
      <c r="A20" s="37" t="s">
        <v>326</v>
      </c>
      <c r="B20" s="37" t="s">
        <v>137</v>
      </c>
      <c r="C20" s="37" t="s">
        <v>328</v>
      </c>
      <c r="D20" s="37" t="s">
        <v>404</v>
      </c>
      <c r="E20" s="37" t="s">
        <v>423</v>
      </c>
      <c r="F20" s="37" t="s">
        <v>299</v>
      </c>
      <c r="G20" s="37" t="n">
        <v>1</v>
      </c>
      <c r="H20" s="80" t="n">
        <v>78000</v>
      </c>
      <c r="I20" s="80" t="n">
        <v>7800</v>
      </c>
      <c r="J20" s="85" t="n">
        <f aca="false">H20+I20</f>
        <v>85800</v>
      </c>
      <c r="K20" s="85" t="n">
        <f aca="false">J20*0.25</f>
        <v>21450</v>
      </c>
      <c r="L20" s="85" t="n">
        <f aca="false">J20+K20</f>
        <v>107250</v>
      </c>
      <c r="M20" s="86" t="n">
        <v>12</v>
      </c>
      <c r="N20" s="85" t="n">
        <f aca="false">(H20/52)*M20</f>
        <v>18000</v>
      </c>
      <c r="O20" s="80" t="n">
        <v>2500</v>
      </c>
      <c r="P20" s="85" t="n">
        <f aca="false">N20+O20</f>
        <v>20500</v>
      </c>
      <c r="Q20" s="85" t="n">
        <f aca="false">L20</f>
        <v>107250</v>
      </c>
      <c r="R20" s="85" t="n">
        <f aca="false">IFERROR(Q20*VLOOKUP(A20,'Initiative Log'!A:S,19,0),"-")</f>
        <v>107250</v>
      </c>
      <c r="S20" s="85" t="n">
        <f aca="false">Q20</f>
        <v>107250</v>
      </c>
      <c r="T20" s="87" t="str">
        <f aca="false">IFERROR(VLOOKUP(A20,'Initiative Log'!A:L,12,0),"")</f>
        <v>Complete</v>
      </c>
    </row>
    <row r="21" customFormat="false" ht="18" hidden="false" customHeight="true" outlineLevel="0" collapsed="false">
      <c r="A21" s="34" t="s">
        <v>332</v>
      </c>
      <c r="B21" s="34" t="s">
        <v>107</v>
      </c>
      <c r="C21" s="34" t="s">
        <v>334</v>
      </c>
      <c r="D21" s="34" t="s">
        <v>404</v>
      </c>
      <c r="E21" s="34" t="s">
        <v>424</v>
      </c>
      <c r="F21" s="34" t="s">
        <v>299</v>
      </c>
      <c r="G21" s="34" t="n">
        <v>1</v>
      </c>
      <c r="H21" s="78" t="n">
        <v>105000</v>
      </c>
      <c r="I21" s="78" t="n">
        <v>10500</v>
      </c>
      <c r="J21" s="82" t="n">
        <f aca="false">H21+I21</f>
        <v>115500</v>
      </c>
      <c r="K21" s="82" t="n">
        <f aca="false">J21*0.25</f>
        <v>28875</v>
      </c>
      <c r="L21" s="82" t="n">
        <f aca="false">J21+K21</f>
        <v>144375</v>
      </c>
      <c r="M21" s="83" t="n">
        <v>12</v>
      </c>
      <c r="N21" s="82" t="n">
        <f aca="false">(H21/52)*M21</f>
        <v>24230.7692307692</v>
      </c>
      <c r="O21" s="78" t="n">
        <v>2500</v>
      </c>
      <c r="P21" s="82" t="n">
        <f aca="false">N21+O21</f>
        <v>26730.7692307692</v>
      </c>
      <c r="Q21" s="82" t="n">
        <f aca="false">L21</f>
        <v>144375</v>
      </c>
      <c r="R21" s="82" t="n">
        <f aca="false">IFERROR(Q21*VLOOKUP(A21,'Initiative Log'!A:S,19,0),"-")</f>
        <v>28875</v>
      </c>
      <c r="S21" s="82" t="n">
        <f aca="false">Q21</f>
        <v>144375</v>
      </c>
      <c r="T21" s="84" t="str">
        <f aca="false">IFERROR(VLOOKUP(A21,'Initiative Log'!A:L,12,0),"")</f>
        <v>Pipeline</v>
      </c>
    </row>
    <row r="22" customFormat="false" ht="18" hidden="false" customHeight="true" outlineLevel="0" collapsed="false">
      <c r="A22" s="37" t="s">
        <v>332</v>
      </c>
      <c r="B22" s="37" t="s">
        <v>107</v>
      </c>
      <c r="C22" s="37" t="s">
        <v>334</v>
      </c>
      <c r="D22" s="37" t="s">
        <v>404</v>
      </c>
      <c r="E22" s="37" t="s">
        <v>425</v>
      </c>
      <c r="F22" s="37" t="s">
        <v>299</v>
      </c>
      <c r="G22" s="37" t="n">
        <v>1</v>
      </c>
      <c r="H22" s="80" t="n">
        <v>92000</v>
      </c>
      <c r="I22" s="80" t="n">
        <v>9200</v>
      </c>
      <c r="J22" s="85" t="n">
        <f aca="false">H22+I22</f>
        <v>101200</v>
      </c>
      <c r="K22" s="85" t="n">
        <f aca="false">J22*0.25</f>
        <v>25300</v>
      </c>
      <c r="L22" s="85" t="n">
        <f aca="false">J22+K22</f>
        <v>126500</v>
      </c>
      <c r="M22" s="86" t="n">
        <v>12</v>
      </c>
      <c r="N22" s="85" t="n">
        <f aca="false">(H22/52)*M22</f>
        <v>21230.7692307692</v>
      </c>
      <c r="O22" s="80" t="n">
        <v>2500</v>
      </c>
      <c r="P22" s="85" t="n">
        <f aca="false">N22+O22</f>
        <v>23730.7692307692</v>
      </c>
      <c r="Q22" s="85" t="n">
        <f aca="false">L22</f>
        <v>126500</v>
      </c>
      <c r="R22" s="85" t="n">
        <f aca="false">IFERROR(Q22*VLOOKUP(A22,'Initiative Log'!A:S,19,0),"-")</f>
        <v>25300</v>
      </c>
      <c r="S22" s="85" t="n">
        <f aca="false">Q22</f>
        <v>126500</v>
      </c>
      <c r="T22" s="87" t="str">
        <f aca="false">IFERROR(VLOOKUP(A22,'Initiative Log'!A:L,12,0),"")</f>
        <v>Pipeline</v>
      </c>
    </row>
    <row r="23" customFormat="false" ht="19.5" hidden="false" customHeight="true" outlineLevel="0" collapsed="false">
      <c r="A23" s="16" t="s">
        <v>111</v>
      </c>
      <c r="B23" s="16"/>
      <c r="C23" s="16"/>
      <c r="D23" s="16"/>
      <c r="E23" s="16"/>
      <c r="F23" s="16"/>
      <c r="G23" s="16"/>
      <c r="H23" s="17" t="n">
        <f aca="false">SUM(H3:H22)</f>
        <v>2484000</v>
      </c>
      <c r="I23" s="17" t="n">
        <f aca="false">SUM(I3:I22)</f>
        <v>347200</v>
      </c>
      <c r="J23" s="17" t="n">
        <f aca="false">SUM(J3:J22)</f>
        <v>2831200</v>
      </c>
      <c r="K23" s="17" t="n">
        <f aca="false">SUM(K3:K22)</f>
        <v>707800</v>
      </c>
      <c r="L23" s="17" t="n">
        <f aca="false">SUM(L3:L22)</f>
        <v>3539000</v>
      </c>
      <c r="N23" s="17" t="n">
        <f aca="false">SUM(N3:N22)</f>
        <v>981115.384615385</v>
      </c>
      <c r="O23" s="17" t="n">
        <f aca="false">SUM(O3:O22)</f>
        <v>89000</v>
      </c>
      <c r="P23" s="17" t="n">
        <f aca="false">SUM(P3:P22)</f>
        <v>1070115.38461538</v>
      </c>
      <c r="Q23" s="17" t="n">
        <f aca="false">SUM(Q3:Q22)</f>
        <v>3539000</v>
      </c>
      <c r="R23" s="17" t="n">
        <f aca="false">SUM(R3:R22)</f>
        <v>1512525</v>
      </c>
      <c r="S23" s="17" t="n">
        <f aca="false">SUM(S3:S22)</f>
        <v>3539000</v>
      </c>
    </row>
  </sheetData>
  <mergeCells count="2">
    <mergeCell ref="A1:V1"/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P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8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3" min="10" style="0" width="13"/>
    <col collapsed="false" customWidth="true" hidden="false" outlineLevel="0" max="14" min="14" style="0" width="22"/>
  </cols>
  <sheetData>
    <row r="1" customFormat="false" ht="31.5" hidden="false" customHeight="true" outlineLevel="0" collapsed="false">
      <c r="A1" s="31" t="s">
        <v>426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3" customFormat="false" ht="21.75" hidden="false" customHeight="true" outlineLevel="0" collapsed="false">
      <c r="A3" s="3" t="s">
        <v>427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8" hidden="false" customHeight="true" outlineLevel="0" collapsed="false">
      <c r="A4" s="4" t="s">
        <v>86</v>
      </c>
      <c r="B4" s="4"/>
      <c r="C4" s="4" t="s">
        <v>87</v>
      </c>
      <c r="D4" s="4"/>
      <c r="E4" s="4" t="s">
        <v>88</v>
      </c>
      <c r="F4" s="4"/>
      <c r="G4" s="4" t="s">
        <v>89</v>
      </c>
      <c r="H4" s="4"/>
      <c r="I4" s="4" t="s">
        <v>90</v>
      </c>
      <c r="J4" s="4"/>
      <c r="K4" s="4" t="s">
        <v>91</v>
      </c>
      <c r="L4" s="4"/>
      <c r="M4" s="4" t="s">
        <v>92</v>
      </c>
      <c r="N4" s="4"/>
      <c r="O4" s="4" t="s">
        <v>93</v>
      </c>
      <c r="P4" s="4"/>
    </row>
    <row r="5" customFormat="false" ht="30" hidden="false" customHeight="true" outlineLevel="0" collapsed="false">
      <c r="A5" s="32" t="s">
        <v>428</v>
      </c>
      <c r="B5" s="32"/>
      <c r="C5" s="5" t="n">
        <v>3345000</v>
      </c>
      <c r="D5" s="5"/>
      <c r="E5" s="5" t="n">
        <v>430000</v>
      </c>
      <c r="F5" s="5"/>
      <c r="G5" s="5" t="n">
        <v>2915000</v>
      </c>
      <c r="H5" s="5"/>
      <c r="I5" s="5" t="n">
        <v>1450500</v>
      </c>
      <c r="J5" s="5"/>
      <c r="K5" s="5" t="n">
        <v>3345000</v>
      </c>
      <c r="L5" s="5"/>
      <c r="M5" s="5" t="n">
        <v>3846745</v>
      </c>
      <c r="N5" s="5"/>
      <c r="O5" s="5" t="n">
        <v>2843250</v>
      </c>
      <c r="P5" s="5"/>
    </row>
    <row r="7" customFormat="false" ht="21.75" hidden="false" customHeight="true" outlineLevel="0" collapsed="false">
      <c r="A7" s="33" t="s">
        <v>429</v>
      </c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</row>
    <row r="8" customFormat="false" ht="39.75" hidden="false" customHeight="true" outlineLevel="0" collapsed="false">
      <c r="A8" s="7" t="s">
        <v>96</v>
      </c>
      <c r="B8" s="7" t="s">
        <v>97</v>
      </c>
      <c r="C8" s="7" t="s">
        <v>12</v>
      </c>
      <c r="D8" s="7" t="s">
        <v>27</v>
      </c>
      <c r="E8" s="7" t="s">
        <v>98</v>
      </c>
      <c r="F8" s="7" t="s">
        <v>56</v>
      </c>
      <c r="G8" s="7" t="s">
        <v>99</v>
      </c>
      <c r="H8" s="7" t="s">
        <v>100</v>
      </c>
      <c r="I8" s="7" t="s">
        <v>101</v>
      </c>
      <c r="J8" s="7" t="s">
        <v>102</v>
      </c>
      <c r="K8" s="7" t="s">
        <v>29</v>
      </c>
      <c r="L8" s="7" t="s">
        <v>103</v>
      </c>
      <c r="M8" s="7" t="s">
        <v>104</v>
      </c>
      <c r="N8" s="7" t="s">
        <v>75</v>
      </c>
    </row>
    <row r="9" customFormat="false" ht="18" hidden="false" customHeight="true" outlineLevel="0" collapsed="false">
      <c r="A9" s="34" t="s">
        <v>276</v>
      </c>
      <c r="B9" s="34" t="s">
        <v>280</v>
      </c>
      <c r="C9" s="34" t="s">
        <v>107</v>
      </c>
      <c r="D9" s="34" t="s">
        <v>33</v>
      </c>
      <c r="E9" s="34" t="s">
        <v>36</v>
      </c>
      <c r="F9" s="35" t="s">
        <v>63</v>
      </c>
      <c r="G9" s="36" t="n">
        <v>320000</v>
      </c>
      <c r="H9" s="36" t="n">
        <v>45000</v>
      </c>
      <c r="I9" s="36" t="n">
        <v>275000</v>
      </c>
      <c r="J9" s="36" t="n">
        <v>160000</v>
      </c>
      <c r="K9" s="36" t="n">
        <v>320000</v>
      </c>
      <c r="L9" s="36" t="n">
        <v>368000</v>
      </c>
      <c r="M9" s="36" t="n">
        <v>272000</v>
      </c>
      <c r="N9" s="34"/>
    </row>
    <row r="10" customFormat="false" ht="18" hidden="false" customHeight="true" outlineLevel="0" collapsed="false">
      <c r="A10" s="37" t="s">
        <v>285</v>
      </c>
      <c r="B10" s="37" t="s">
        <v>287</v>
      </c>
      <c r="C10" s="37" t="s">
        <v>107</v>
      </c>
      <c r="D10" s="37" t="s">
        <v>52</v>
      </c>
      <c r="E10" s="37" t="s">
        <v>36</v>
      </c>
      <c r="F10" s="35" t="s">
        <v>63</v>
      </c>
      <c r="G10" s="39" t="n">
        <v>385000</v>
      </c>
      <c r="H10" s="39" t="n">
        <v>65000</v>
      </c>
      <c r="I10" s="39" t="n">
        <v>320000</v>
      </c>
      <c r="J10" s="39" t="n">
        <v>154000</v>
      </c>
      <c r="K10" s="39" t="n">
        <v>385000</v>
      </c>
      <c r="L10" s="39" t="n">
        <v>442749</v>
      </c>
      <c r="M10" s="39" t="n">
        <v>327250</v>
      </c>
      <c r="N10" s="37"/>
    </row>
    <row r="11" customFormat="false" ht="18" hidden="false" customHeight="true" outlineLevel="0" collapsed="false">
      <c r="A11" s="34" t="s">
        <v>291</v>
      </c>
      <c r="B11" s="34" t="s">
        <v>293</v>
      </c>
      <c r="C11" s="34" t="s">
        <v>110</v>
      </c>
      <c r="D11" s="34" t="s">
        <v>50</v>
      </c>
      <c r="E11" s="34" t="s">
        <v>36</v>
      </c>
      <c r="F11" s="35" t="s">
        <v>63</v>
      </c>
      <c r="G11" s="36" t="n">
        <v>480000</v>
      </c>
      <c r="H11" s="36" t="n">
        <v>60000</v>
      </c>
      <c r="I11" s="36" t="n">
        <v>420000</v>
      </c>
      <c r="J11" s="36" t="n">
        <v>240000</v>
      </c>
      <c r="K11" s="36" t="n">
        <v>480000</v>
      </c>
      <c r="L11" s="36" t="n">
        <v>552000</v>
      </c>
      <c r="M11" s="36" t="n">
        <v>408000</v>
      </c>
      <c r="N11" s="34"/>
    </row>
    <row r="12" customFormat="false" ht="18" hidden="false" customHeight="true" outlineLevel="0" collapsed="false">
      <c r="A12" s="37" t="s">
        <v>298</v>
      </c>
      <c r="B12" s="37" t="s">
        <v>300</v>
      </c>
      <c r="C12" s="37" t="s">
        <v>110</v>
      </c>
      <c r="D12" s="37" t="s">
        <v>37</v>
      </c>
      <c r="E12" s="37" t="s">
        <v>36</v>
      </c>
      <c r="F12" s="38" t="s">
        <v>64</v>
      </c>
      <c r="G12" s="39" t="n">
        <v>275000</v>
      </c>
      <c r="H12" s="39" t="n">
        <v>35000</v>
      </c>
      <c r="I12" s="39" t="n">
        <v>240000</v>
      </c>
      <c r="J12" s="39" t="n">
        <v>55000</v>
      </c>
      <c r="K12" s="39" t="n">
        <v>275000</v>
      </c>
      <c r="L12" s="39" t="n">
        <v>316250</v>
      </c>
      <c r="M12" s="39" t="n">
        <v>233750</v>
      </c>
      <c r="N12" s="37"/>
    </row>
    <row r="13" customFormat="false" ht="18" hidden="false" customHeight="true" outlineLevel="0" collapsed="false">
      <c r="A13" s="34" t="s">
        <v>305</v>
      </c>
      <c r="B13" s="34" t="s">
        <v>306</v>
      </c>
      <c r="C13" s="34" t="s">
        <v>137</v>
      </c>
      <c r="D13" s="34" t="s">
        <v>43</v>
      </c>
      <c r="E13" s="34" t="s">
        <v>36</v>
      </c>
      <c r="F13" s="35" t="s">
        <v>63</v>
      </c>
      <c r="G13" s="36" t="n">
        <v>185000</v>
      </c>
      <c r="H13" s="36" t="n">
        <v>25000</v>
      </c>
      <c r="I13" s="36" t="n">
        <v>160000</v>
      </c>
      <c r="J13" s="36" t="n">
        <v>92500</v>
      </c>
      <c r="K13" s="36" t="n">
        <v>185000</v>
      </c>
      <c r="L13" s="36" t="n">
        <v>212749</v>
      </c>
      <c r="M13" s="36" t="n">
        <v>157250</v>
      </c>
      <c r="N13" s="34"/>
    </row>
    <row r="14" customFormat="false" ht="18" hidden="false" customHeight="true" outlineLevel="0" collapsed="false">
      <c r="A14" s="37" t="s">
        <v>309</v>
      </c>
      <c r="B14" s="37" t="s">
        <v>310</v>
      </c>
      <c r="C14" s="37" t="s">
        <v>137</v>
      </c>
      <c r="D14" s="37" t="s">
        <v>50</v>
      </c>
      <c r="E14" s="37" t="s">
        <v>36</v>
      </c>
      <c r="F14" s="38" t="s">
        <v>64</v>
      </c>
      <c r="G14" s="39" t="n">
        <v>340000</v>
      </c>
      <c r="H14" s="39" t="n">
        <v>50000</v>
      </c>
      <c r="I14" s="39" t="n">
        <v>290000</v>
      </c>
      <c r="J14" s="39" t="n">
        <v>68000</v>
      </c>
      <c r="K14" s="39" t="n">
        <v>340000</v>
      </c>
      <c r="L14" s="39" t="n">
        <v>390999</v>
      </c>
      <c r="M14" s="39" t="n">
        <v>289000</v>
      </c>
      <c r="N14" s="37"/>
    </row>
    <row r="15" customFormat="false" ht="18" hidden="false" customHeight="true" outlineLevel="0" collapsed="false">
      <c r="A15" s="34" t="s">
        <v>314</v>
      </c>
      <c r="B15" s="34" t="s">
        <v>316</v>
      </c>
      <c r="C15" s="34" t="s">
        <v>107</v>
      </c>
      <c r="D15" s="34" t="s">
        <v>54</v>
      </c>
      <c r="E15" s="34" t="s">
        <v>36</v>
      </c>
      <c r="F15" s="35" t="s">
        <v>63</v>
      </c>
      <c r="G15" s="36" t="n">
        <v>260000</v>
      </c>
      <c r="H15" s="36" t="n">
        <v>30000</v>
      </c>
      <c r="I15" s="36" t="n">
        <v>230000</v>
      </c>
      <c r="J15" s="36" t="n">
        <v>104000</v>
      </c>
      <c r="K15" s="36" t="n">
        <v>260000</v>
      </c>
      <c r="L15" s="36" t="n">
        <v>299000</v>
      </c>
      <c r="M15" s="36" t="n">
        <v>221000</v>
      </c>
      <c r="N15" s="34"/>
    </row>
    <row r="16" customFormat="false" ht="18" hidden="false" customHeight="true" outlineLevel="0" collapsed="false">
      <c r="A16" s="37" t="s">
        <v>321</v>
      </c>
      <c r="B16" s="37" t="s">
        <v>322</v>
      </c>
      <c r="C16" s="37" t="s">
        <v>110</v>
      </c>
      <c r="D16" s="37" t="s">
        <v>37</v>
      </c>
      <c r="E16" s="37" t="s">
        <v>36</v>
      </c>
      <c r="F16" s="35" t="s">
        <v>63</v>
      </c>
      <c r="G16" s="39" t="n">
        <v>230000</v>
      </c>
      <c r="H16" s="39" t="n">
        <v>35000</v>
      </c>
      <c r="I16" s="39" t="n">
        <v>195000</v>
      </c>
      <c r="J16" s="39" t="n">
        <v>115000</v>
      </c>
      <c r="K16" s="39" t="n">
        <v>230000</v>
      </c>
      <c r="L16" s="39" t="n">
        <v>264500</v>
      </c>
      <c r="M16" s="39" t="n">
        <v>195500</v>
      </c>
      <c r="N16" s="37"/>
    </row>
    <row r="17" customFormat="false" ht="18" hidden="false" customHeight="true" outlineLevel="0" collapsed="false">
      <c r="A17" s="34" t="s">
        <v>326</v>
      </c>
      <c r="B17" s="34" t="s">
        <v>327</v>
      </c>
      <c r="C17" s="34" t="s">
        <v>137</v>
      </c>
      <c r="D17" s="34" t="s">
        <v>33</v>
      </c>
      <c r="E17" s="34" t="s">
        <v>36</v>
      </c>
      <c r="F17" s="49" t="s">
        <v>65</v>
      </c>
      <c r="G17" s="36" t="n">
        <v>180000</v>
      </c>
      <c r="H17" s="36" t="n">
        <v>20000</v>
      </c>
      <c r="I17" s="36" t="n">
        <v>160000</v>
      </c>
      <c r="J17" s="36" t="n">
        <v>180000</v>
      </c>
      <c r="K17" s="36" t="n">
        <v>180000</v>
      </c>
      <c r="L17" s="36" t="n">
        <v>206999</v>
      </c>
      <c r="M17" s="36" t="n">
        <v>153000</v>
      </c>
      <c r="N17" s="34"/>
    </row>
    <row r="18" customFormat="false" ht="18" hidden="false" customHeight="true" outlineLevel="0" collapsed="false">
      <c r="A18" s="37" t="s">
        <v>332</v>
      </c>
      <c r="B18" s="37" t="s">
        <v>333</v>
      </c>
      <c r="C18" s="37" t="s">
        <v>107</v>
      </c>
      <c r="D18" s="37" t="s">
        <v>47</v>
      </c>
      <c r="E18" s="37" t="s">
        <v>36</v>
      </c>
      <c r="F18" s="38" t="s">
        <v>64</v>
      </c>
      <c r="G18" s="39" t="n">
        <v>210000</v>
      </c>
      <c r="H18" s="39" t="n">
        <v>40000</v>
      </c>
      <c r="I18" s="39" t="n">
        <v>170000</v>
      </c>
      <c r="J18" s="39" t="n">
        <v>42000</v>
      </c>
      <c r="K18" s="39" t="n">
        <v>210000</v>
      </c>
      <c r="L18" s="39" t="n">
        <v>241499</v>
      </c>
      <c r="M18" s="39" t="n">
        <v>178500</v>
      </c>
      <c r="N18" s="37"/>
    </row>
    <row r="19" customFormat="false" ht="18" hidden="false" customHeight="true" outlineLevel="0" collapsed="false">
      <c r="A19" s="34" t="s">
        <v>382</v>
      </c>
      <c r="B19" s="34" t="s">
        <v>384</v>
      </c>
      <c r="C19" s="34" t="s">
        <v>110</v>
      </c>
      <c r="D19" s="34" t="s">
        <v>33</v>
      </c>
      <c r="E19" s="34" t="s">
        <v>36</v>
      </c>
      <c r="F19" s="35" t="s">
        <v>63</v>
      </c>
      <c r="G19" s="36" t="n">
        <v>480000</v>
      </c>
      <c r="H19" s="36" t="n">
        <v>25000</v>
      </c>
      <c r="I19" s="36" t="n">
        <v>455000</v>
      </c>
      <c r="J19" s="36" t="n">
        <v>240000</v>
      </c>
      <c r="K19" s="36" t="n">
        <v>480000</v>
      </c>
      <c r="L19" s="36" t="n">
        <v>552000</v>
      </c>
      <c r="M19" s="36" t="n">
        <v>408000</v>
      </c>
      <c r="N19" s="34"/>
    </row>
    <row r="20" customFormat="false" ht="19.5" hidden="false" customHeight="true" outlineLevel="0" collapsed="false">
      <c r="A20" s="16" t="s">
        <v>111</v>
      </c>
      <c r="B20" s="16"/>
      <c r="C20" s="16"/>
      <c r="D20" s="16"/>
      <c r="E20" s="16"/>
      <c r="F20" s="16"/>
      <c r="G20" s="17" t="n">
        <f aca="false">SUM(G9:G19)</f>
        <v>3345000</v>
      </c>
      <c r="H20" s="17" t="n">
        <f aca="false">SUM(H9:H19)</f>
        <v>430000</v>
      </c>
      <c r="I20" s="17" t="n">
        <f aca="false">SUM(I9:I19)</f>
        <v>2915000</v>
      </c>
      <c r="J20" s="17" t="n">
        <f aca="false">SUM(J9:J19)</f>
        <v>1450500</v>
      </c>
      <c r="K20" s="17" t="n">
        <f aca="false">SUM(K9:K19)</f>
        <v>3345000</v>
      </c>
      <c r="L20" s="17" t="n">
        <f aca="false">SUM(L9:L19)</f>
        <v>3846745</v>
      </c>
      <c r="M20" s="17" t="n">
        <f aca="false">SUM(M9:M19)</f>
        <v>2843250</v>
      </c>
    </row>
    <row r="22" customFormat="false" ht="21.75" hidden="false" customHeight="true" outlineLevel="0" collapsed="false">
      <c r="A22" s="40" t="s">
        <v>430</v>
      </c>
      <c r="B22" s="40"/>
      <c r="C22" s="40"/>
      <c r="D22" s="40"/>
      <c r="E22" s="40"/>
      <c r="F22" s="40"/>
      <c r="G22" s="40"/>
      <c r="H22" s="40"/>
    </row>
    <row r="23" customFormat="false" ht="31.5" hidden="false" customHeight="true" outlineLevel="0" collapsed="false">
      <c r="A23" s="41" t="s">
        <v>113</v>
      </c>
      <c r="B23" s="41" t="s">
        <v>114</v>
      </c>
      <c r="C23" s="41" t="s">
        <v>58</v>
      </c>
      <c r="D23" s="41" t="s">
        <v>115</v>
      </c>
      <c r="E23" s="41" t="s">
        <v>116</v>
      </c>
      <c r="F23" s="41" t="s">
        <v>17</v>
      </c>
      <c r="G23" s="41" t="s">
        <v>18</v>
      </c>
      <c r="H23" s="41" t="s">
        <v>117</v>
      </c>
    </row>
    <row r="24" customFormat="false" ht="19.5" hidden="false" customHeight="true" outlineLevel="0" collapsed="false">
      <c r="A24" s="42" t="s">
        <v>118</v>
      </c>
      <c r="B24" s="42" t="s">
        <v>119</v>
      </c>
      <c r="C24" s="43" t="n">
        <v>3846749</v>
      </c>
      <c r="D24" s="43" t="n">
        <v>501749</v>
      </c>
      <c r="E24" s="44" t="n">
        <v>0.149999701046338</v>
      </c>
      <c r="F24" s="43" t="n">
        <v>387000</v>
      </c>
      <c r="G24" s="43" t="n">
        <v>3459749</v>
      </c>
      <c r="H24" s="42" t="s">
        <v>120</v>
      </c>
    </row>
    <row r="25" customFormat="false" ht="19.5" hidden="false" customHeight="true" outlineLevel="0" collapsed="false">
      <c r="A25" s="34" t="s">
        <v>121</v>
      </c>
      <c r="B25" s="34" t="s">
        <v>122</v>
      </c>
      <c r="C25" s="36" t="n">
        <v>3345000</v>
      </c>
      <c r="D25" s="36" t="n">
        <v>0</v>
      </c>
      <c r="E25" s="45" t="n">
        <v>0</v>
      </c>
      <c r="F25" s="36" t="n">
        <v>430000</v>
      </c>
      <c r="G25" s="36" t="n">
        <v>2915000</v>
      </c>
      <c r="H25" s="34" t="s">
        <v>123</v>
      </c>
    </row>
    <row r="26" customFormat="false" ht="19.5" hidden="false" customHeight="true" outlineLevel="0" collapsed="false">
      <c r="A26" s="46" t="s">
        <v>124</v>
      </c>
      <c r="B26" s="46" t="s">
        <v>125</v>
      </c>
      <c r="C26" s="47" t="n">
        <v>2508750</v>
      </c>
      <c r="D26" s="47" t="n">
        <v>-836250</v>
      </c>
      <c r="E26" s="48" t="n">
        <v>-0.25</v>
      </c>
      <c r="F26" s="47" t="n">
        <v>473000</v>
      </c>
      <c r="G26" s="47" t="n">
        <v>2035750</v>
      </c>
      <c r="H26" s="46" t="s">
        <v>126</v>
      </c>
    </row>
  </sheetData>
  <mergeCells count="21">
    <mergeCell ref="A1:N1"/>
    <mergeCell ref="A3:N3"/>
    <mergeCell ref="A4:B4"/>
    <mergeCell ref="C4:D4"/>
    <mergeCell ref="E4:F4"/>
    <mergeCell ref="G4:H4"/>
    <mergeCell ref="I4:J4"/>
    <mergeCell ref="K4:L4"/>
    <mergeCell ref="M4:N4"/>
    <mergeCell ref="O4:P4"/>
    <mergeCell ref="A5:B5"/>
    <mergeCell ref="C5:D5"/>
    <mergeCell ref="E5:F5"/>
    <mergeCell ref="G5:H5"/>
    <mergeCell ref="I5:J5"/>
    <mergeCell ref="K5:L5"/>
    <mergeCell ref="M5:N5"/>
    <mergeCell ref="O5:P5"/>
    <mergeCell ref="A7:N7"/>
    <mergeCell ref="A20:F20"/>
    <mergeCell ref="A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6000"/>
    <pageSetUpPr fitToPage="false"/>
  </sheetPr>
  <dimension ref="A1:V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8"/>
    <col collapsed="false" customWidth="true" hidden="false" outlineLevel="0" max="9" min="8" style="0" width="10"/>
    <col collapsed="false" customWidth="true" hidden="false" outlineLevel="0" max="11" min="10" style="0" width="13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6" min="15" style="0" width="13"/>
    <col collapsed="false" customWidth="true" hidden="false" outlineLevel="0" max="18" min="17" style="0" width="14"/>
    <col collapsed="false" customWidth="true" hidden="false" outlineLevel="0" max="19" min="19" style="0" width="12"/>
    <col collapsed="false" customWidth="true" hidden="false" outlineLevel="0" max="20" min="20" style="0" width="10"/>
    <col collapsed="false" customWidth="true" hidden="false" outlineLevel="0" max="21" min="21" style="0" width="14"/>
    <col collapsed="false" customWidth="true" hidden="false" outlineLevel="0" max="22" min="22" style="0" width="12"/>
  </cols>
  <sheetData>
    <row r="1" customFormat="false" ht="31.5" hidden="false" customHeight="true" outlineLevel="0" collapsed="false">
      <c r="A1" s="31" t="s">
        <v>431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</row>
    <row r="2" customFormat="false" ht="39.75" hidden="false" customHeight="true" outlineLevel="0" collapsed="false">
      <c r="A2" s="7" t="s">
        <v>96</v>
      </c>
      <c r="B2" s="7" t="s">
        <v>267</v>
      </c>
      <c r="C2" s="7" t="s">
        <v>12</v>
      </c>
      <c r="D2" s="7" t="s">
        <v>263</v>
      </c>
      <c r="E2" s="7" t="s">
        <v>68</v>
      </c>
      <c r="F2" s="7" t="s">
        <v>265</v>
      </c>
      <c r="G2" s="7" t="s">
        <v>27</v>
      </c>
      <c r="H2" s="7" t="s">
        <v>275</v>
      </c>
      <c r="I2" s="7" t="s">
        <v>56</v>
      </c>
      <c r="J2" s="7" t="s">
        <v>432</v>
      </c>
      <c r="K2" s="7" t="s">
        <v>99</v>
      </c>
      <c r="L2" s="7" t="s">
        <v>433</v>
      </c>
      <c r="M2" s="7" t="s">
        <v>434</v>
      </c>
      <c r="N2" s="7" t="s">
        <v>435</v>
      </c>
      <c r="O2" s="7" t="s">
        <v>101</v>
      </c>
      <c r="P2" s="7" t="s">
        <v>436</v>
      </c>
      <c r="Q2" s="7" t="s">
        <v>437</v>
      </c>
      <c r="R2" s="7" t="s">
        <v>103</v>
      </c>
      <c r="S2" s="7" t="s">
        <v>438</v>
      </c>
      <c r="T2" s="7" t="s">
        <v>439</v>
      </c>
      <c r="U2" s="7" t="s">
        <v>104</v>
      </c>
      <c r="V2" s="7" t="s">
        <v>440</v>
      </c>
    </row>
    <row r="3" customFormat="false" ht="18" hidden="false" customHeight="true" outlineLevel="0" collapsed="false">
      <c r="A3" s="34" t="s">
        <v>105</v>
      </c>
      <c r="B3" s="34" t="s">
        <v>340</v>
      </c>
      <c r="C3" s="34" t="s">
        <v>107</v>
      </c>
      <c r="D3" s="34" t="s">
        <v>31</v>
      </c>
      <c r="E3" s="34" t="s">
        <v>339</v>
      </c>
      <c r="F3" s="34" t="s">
        <v>106</v>
      </c>
      <c r="G3" s="34" t="s">
        <v>37</v>
      </c>
      <c r="H3" s="34" t="s">
        <v>32</v>
      </c>
      <c r="I3" s="35" t="s">
        <v>63</v>
      </c>
      <c r="J3" s="78" t="n">
        <v>4200000</v>
      </c>
      <c r="K3" s="78" t="n">
        <v>4200000</v>
      </c>
      <c r="L3" s="88" t="n">
        <f aca="false">IFERROR(K3/J3,"-")</f>
        <v>1</v>
      </c>
      <c r="M3" s="78" t="n">
        <v>1800000</v>
      </c>
      <c r="N3" s="89" t="n">
        <f aca="false">IFERROR(M3/K3,"-")</f>
        <v>0.428571428571429</v>
      </c>
      <c r="O3" s="82" t="n">
        <f aca="false">K3-M3</f>
        <v>2400000</v>
      </c>
      <c r="P3" s="82" t="n">
        <f aca="false">IFERROR(K3*VLOOKUP(A3,'Initiative Log'!A:S,19,0),"-")</f>
        <v>1260000</v>
      </c>
      <c r="Q3" s="82" t="n">
        <f aca="false">K3</f>
        <v>4200000</v>
      </c>
      <c r="R3" s="78" t="n">
        <v>4830000</v>
      </c>
      <c r="S3" s="82" t="n">
        <f aca="false">K3-R3</f>
        <v>-630000</v>
      </c>
      <c r="T3" s="88" t="n">
        <f aca="false">IFERROR(K3/R3-1,"-")</f>
        <v>-0.130434782608696</v>
      </c>
      <c r="U3" s="78" t="n">
        <v>3570000</v>
      </c>
      <c r="V3" s="82" t="n">
        <f aca="false">K3-U3</f>
        <v>630000</v>
      </c>
    </row>
    <row r="4" customFormat="false" ht="18" hidden="false" customHeight="true" outlineLevel="0" collapsed="false">
      <c r="A4" s="37" t="s">
        <v>108</v>
      </c>
      <c r="B4" s="37" t="s">
        <v>340</v>
      </c>
      <c r="C4" s="37" t="s">
        <v>110</v>
      </c>
      <c r="D4" s="37" t="s">
        <v>31</v>
      </c>
      <c r="E4" s="37" t="s">
        <v>339</v>
      </c>
      <c r="F4" s="37" t="s">
        <v>109</v>
      </c>
      <c r="G4" s="37" t="s">
        <v>37</v>
      </c>
      <c r="H4" s="37" t="s">
        <v>32</v>
      </c>
      <c r="I4" s="38" t="s">
        <v>64</v>
      </c>
      <c r="J4" s="80" t="n">
        <v>1850000</v>
      </c>
      <c r="K4" s="80" t="n">
        <v>1850000</v>
      </c>
      <c r="L4" s="90" t="n">
        <f aca="false">IFERROR(K4/J4,"-")</f>
        <v>1</v>
      </c>
      <c r="M4" s="80" t="n">
        <v>950000</v>
      </c>
      <c r="N4" s="91" t="n">
        <f aca="false">IFERROR(M4/K4,"-")</f>
        <v>0.513513513513514</v>
      </c>
      <c r="O4" s="85" t="n">
        <f aca="false">K4-M4</f>
        <v>900000</v>
      </c>
      <c r="P4" s="85" t="n">
        <f aca="false">IFERROR(K4*VLOOKUP(A4,'Initiative Log'!A:S,19,0),"-")</f>
        <v>185000</v>
      </c>
      <c r="Q4" s="85" t="n">
        <f aca="false">K4</f>
        <v>1850000</v>
      </c>
      <c r="R4" s="80" t="n">
        <v>2127500</v>
      </c>
      <c r="S4" s="85" t="n">
        <f aca="false">K4-R4</f>
        <v>-277500</v>
      </c>
      <c r="T4" s="90" t="n">
        <f aca="false">IFERROR(K4/R4-1,"-")</f>
        <v>-0.130434782608696</v>
      </c>
      <c r="U4" s="80" t="n">
        <v>1572500</v>
      </c>
      <c r="V4" s="85" t="n">
        <f aca="false">K4-U4</f>
        <v>277500</v>
      </c>
    </row>
    <row r="5" customFormat="false" ht="18" hidden="false" customHeight="true" outlineLevel="0" collapsed="false">
      <c r="A5" s="34" t="s">
        <v>131</v>
      </c>
      <c r="B5" s="34" t="s">
        <v>348</v>
      </c>
      <c r="C5" s="34" t="s">
        <v>107</v>
      </c>
      <c r="D5" s="34" t="s">
        <v>39</v>
      </c>
      <c r="E5" s="34" t="s">
        <v>347</v>
      </c>
      <c r="F5" s="34" t="s">
        <v>132</v>
      </c>
      <c r="G5" s="34" t="s">
        <v>40</v>
      </c>
      <c r="H5" s="34" t="s">
        <v>32</v>
      </c>
      <c r="I5" s="35" t="s">
        <v>63</v>
      </c>
      <c r="J5" s="78" t="n">
        <v>3100000</v>
      </c>
      <c r="K5" s="78" t="n">
        <v>3100000</v>
      </c>
      <c r="L5" s="88" t="n">
        <f aca="false">IFERROR(K5/J5,"-")</f>
        <v>1</v>
      </c>
      <c r="M5" s="78" t="n">
        <v>150000</v>
      </c>
      <c r="N5" s="89" t="n">
        <f aca="false">IFERROR(M5/K5,"-")</f>
        <v>0.0483870967741936</v>
      </c>
      <c r="O5" s="82" t="n">
        <f aca="false">K5-M5</f>
        <v>2950000</v>
      </c>
      <c r="P5" s="82" t="n">
        <f aca="false">IFERROR(K5*VLOOKUP(A5,'Initiative Log'!A:S,19,0),"-")</f>
        <v>1550000</v>
      </c>
      <c r="Q5" s="82" t="n">
        <f aca="false">K5</f>
        <v>3100000</v>
      </c>
      <c r="R5" s="78" t="n">
        <v>3564999</v>
      </c>
      <c r="S5" s="82" t="n">
        <f aca="false">K5-R5</f>
        <v>-464999</v>
      </c>
      <c r="T5" s="88" t="n">
        <f aca="false">IFERROR(K5/R5-1,"-")</f>
        <v>-0.130434538691315</v>
      </c>
      <c r="U5" s="78" t="n">
        <v>2635000</v>
      </c>
      <c r="V5" s="82" t="n">
        <f aca="false">K5-U5</f>
        <v>465000</v>
      </c>
    </row>
    <row r="6" customFormat="false" ht="18" hidden="false" customHeight="true" outlineLevel="0" collapsed="false">
      <c r="A6" s="37" t="s">
        <v>133</v>
      </c>
      <c r="B6" s="37" t="s">
        <v>348</v>
      </c>
      <c r="C6" s="37" t="s">
        <v>110</v>
      </c>
      <c r="D6" s="37" t="s">
        <v>39</v>
      </c>
      <c r="E6" s="37" t="s">
        <v>350</v>
      </c>
      <c r="F6" s="37" t="s">
        <v>134</v>
      </c>
      <c r="G6" s="37" t="s">
        <v>40</v>
      </c>
      <c r="H6" s="37" t="s">
        <v>32</v>
      </c>
      <c r="I6" s="35" t="s">
        <v>63</v>
      </c>
      <c r="J6" s="80" t="n">
        <v>1200000</v>
      </c>
      <c r="K6" s="80" t="n">
        <v>1200000</v>
      </c>
      <c r="L6" s="90" t="n">
        <f aca="false">IFERROR(K6/J6,"-")</f>
        <v>1</v>
      </c>
      <c r="M6" s="80" t="n">
        <v>80000</v>
      </c>
      <c r="N6" s="91" t="n">
        <f aca="false">IFERROR(M6/K6,"-")</f>
        <v>0.0666666666666667</v>
      </c>
      <c r="O6" s="85" t="n">
        <f aca="false">K6-M6</f>
        <v>1120000</v>
      </c>
      <c r="P6" s="85" t="n">
        <f aca="false">IFERROR(K6*VLOOKUP(A6,'Initiative Log'!A:S,19,0),"-")</f>
        <v>600000</v>
      </c>
      <c r="Q6" s="85" t="n">
        <f aca="false">K6</f>
        <v>1200000</v>
      </c>
      <c r="R6" s="80" t="n">
        <v>1380000</v>
      </c>
      <c r="S6" s="85" t="n">
        <f aca="false">K6-R6</f>
        <v>-180000</v>
      </c>
      <c r="T6" s="90" t="n">
        <f aca="false">IFERROR(K6/R6-1,"-")</f>
        <v>-0.130434782608696</v>
      </c>
      <c r="U6" s="80" t="n">
        <v>1020000</v>
      </c>
      <c r="V6" s="85" t="n">
        <f aca="false">K6-U6</f>
        <v>180000</v>
      </c>
    </row>
    <row r="7" customFormat="false" ht="18" hidden="false" customHeight="true" outlineLevel="0" collapsed="false">
      <c r="A7" s="34" t="s">
        <v>135</v>
      </c>
      <c r="B7" s="34" t="s">
        <v>353</v>
      </c>
      <c r="C7" s="34" t="s">
        <v>137</v>
      </c>
      <c r="D7" s="34" t="s">
        <v>39</v>
      </c>
      <c r="E7" s="34" t="s">
        <v>352</v>
      </c>
      <c r="F7" s="34" t="s">
        <v>136</v>
      </c>
      <c r="G7" s="34" t="s">
        <v>40</v>
      </c>
      <c r="H7" s="34" t="s">
        <v>32</v>
      </c>
      <c r="I7" s="38" t="s">
        <v>64</v>
      </c>
      <c r="J7" s="78" t="n">
        <v>875000</v>
      </c>
      <c r="K7" s="78" t="n">
        <v>875000</v>
      </c>
      <c r="L7" s="88" t="n">
        <f aca="false">IFERROR(K7/J7,"-")</f>
        <v>1</v>
      </c>
      <c r="M7" s="78" t="n">
        <v>50000</v>
      </c>
      <c r="N7" s="89" t="n">
        <f aca="false">IFERROR(M7/K7,"-")</f>
        <v>0.0571428571428571</v>
      </c>
      <c r="O7" s="82" t="n">
        <f aca="false">K7-M7</f>
        <v>825000</v>
      </c>
      <c r="P7" s="82" t="n">
        <f aca="false">IFERROR(K7*VLOOKUP(A7,'Initiative Log'!A:S,19,0),"-")</f>
        <v>175000</v>
      </c>
      <c r="Q7" s="82" t="n">
        <f aca="false">K7</f>
        <v>875000</v>
      </c>
      <c r="R7" s="78" t="n">
        <v>1006249</v>
      </c>
      <c r="S7" s="82" t="n">
        <f aca="false">K7-R7</f>
        <v>-131249</v>
      </c>
      <c r="T7" s="88" t="n">
        <f aca="false">IFERROR(K7/R7-1,"-")</f>
        <v>-0.130433918443646</v>
      </c>
      <c r="U7" s="78" t="n">
        <v>743750</v>
      </c>
      <c r="V7" s="82" t="n">
        <f aca="false">K7-U7</f>
        <v>131250</v>
      </c>
    </row>
    <row r="8" customFormat="false" ht="18" hidden="false" customHeight="true" outlineLevel="0" collapsed="false">
      <c r="A8" s="37" t="s">
        <v>161</v>
      </c>
      <c r="B8" s="37" t="s">
        <v>357</v>
      </c>
      <c r="C8" s="37" t="s">
        <v>107</v>
      </c>
      <c r="D8" s="37" t="s">
        <v>49</v>
      </c>
      <c r="E8" s="37" t="s">
        <v>355</v>
      </c>
      <c r="F8" s="37" t="s">
        <v>162</v>
      </c>
      <c r="G8" s="37" t="s">
        <v>37</v>
      </c>
      <c r="H8" s="37" t="s">
        <v>32</v>
      </c>
      <c r="I8" s="35" t="s">
        <v>63</v>
      </c>
      <c r="J8" s="80" t="n">
        <v>620000</v>
      </c>
      <c r="K8" s="80" t="n">
        <v>620000</v>
      </c>
      <c r="L8" s="90" t="n">
        <f aca="false">IFERROR(K8/J8,"-")</f>
        <v>1</v>
      </c>
      <c r="M8" s="80" t="n">
        <v>40000</v>
      </c>
      <c r="N8" s="91" t="n">
        <f aca="false">IFERROR(M8/K8,"-")</f>
        <v>0.0645161290322581</v>
      </c>
      <c r="O8" s="85" t="n">
        <f aca="false">K8-M8</f>
        <v>580000</v>
      </c>
      <c r="P8" s="85" t="n">
        <f aca="false">IFERROR(K8*VLOOKUP(A8,'Initiative Log'!A:S,19,0),"-")</f>
        <v>310000</v>
      </c>
      <c r="Q8" s="85" t="n">
        <f aca="false">K8</f>
        <v>620000</v>
      </c>
      <c r="R8" s="80" t="n">
        <v>713000</v>
      </c>
      <c r="S8" s="85" t="n">
        <f aca="false">K8-R8</f>
        <v>-93000</v>
      </c>
      <c r="T8" s="90" t="n">
        <f aca="false">IFERROR(K8/R8-1,"-")</f>
        <v>-0.130434782608696</v>
      </c>
      <c r="U8" s="80" t="n">
        <v>527000</v>
      </c>
      <c r="V8" s="85" t="n">
        <f aca="false">K8-U8</f>
        <v>93000</v>
      </c>
    </row>
    <row r="9" customFormat="false" ht="18" hidden="false" customHeight="true" outlineLevel="0" collapsed="false">
      <c r="A9" s="34" t="s">
        <v>163</v>
      </c>
      <c r="B9" s="34" t="s">
        <v>357</v>
      </c>
      <c r="C9" s="34" t="s">
        <v>110</v>
      </c>
      <c r="D9" s="34" t="s">
        <v>49</v>
      </c>
      <c r="E9" s="34" t="s">
        <v>359</v>
      </c>
      <c r="F9" s="34" t="s">
        <v>164</v>
      </c>
      <c r="G9" s="34" t="s">
        <v>37</v>
      </c>
      <c r="H9" s="34" t="s">
        <v>32</v>
      </c>
      <c r="I9" s="38" t="s">
        <v>64</v>
      </c>
      <c r="J9" s="78" t="n">
        <v>480000</v>
      </c>
      <c r="K9" s="78" t="n">
        <v>480000</v>
      </c>
      <c r="L9" s="88" t="n">
        <f aca="false">IFERROR(K9/J9,"-")</f>
        <v>1</v>
      </c>
      <c r="M9" s="78" t="n">
        <v>120000</v>
      </c>
      <c r="N9" s="89" t="n">
        <f aca="false">IFERROR(M9/K9,"-")</f>
        <v>0.25</v>
      </c>
      <c r="O9" s="82" t="n">
        <f aca="false">K9-M9</f>
        <v>360000</v>
      </c>
      <c r="P9" s="82" t="n">
        <f aca="false">IFERROR(K9*VLOOKUP(A9,'Initiative Log'!A:S,19,0),"-")</f>
        <v>96000</v>
      </c>
      <c r="Q9" s="82" t="n">
        <f aca="false">K9</f>
        <v>480000</v>
      </c>
      <c r="R9" s="78" t="n">
        <v>552000</v>
      </c>
      <c r="S9" s="82" t="n">
        <f aca="false">K9-R9</f>
        <v>-72000</v>
      </c>
      <c r="T9" s="88" t="n">
        <f aca="false">IFERROR(K9/R9-1,"-")</f>
        <v>-0.130434782608696</v>
      </c>
      <c r="U9" s="78" t="n">
        <v>408000</v>
      </c>
      <c r="V9" s="82" t="n">
        <f aca="false">K9-U9</f>
        <v>72000</v>
      </c>
    </row>
    <row r="10" customFormat="false" ht="18" hidden="false" customHeight="true" outlineLevel="0" collapsed="false">
      <c r="A10" s="37" t="s">
        <v>142</v>
      </c>
      <c r="B10" s="37" t="s">
        <v>363</v>
      </c>
      <c r="C10" s="37" t="s">
        <v>137</v>
      </c>
      <c r="D10" s="37" t="s">
        <v>42</v>
      </c>
      <c r="E10" s="37" t="s">
        <v>362</v>
      </c>
      <c r="F10" s="37" t="s">
        <v>143</v>
      </c>
      <c r="G10" s="37" t="s">
        <v>43</v>
      </c>
      <c r="H10" s="37" t="s">
        <v>36</v>
      </c>
      <c r="I10" s="35" t="s">
        <v>63</v>
      </c>
      <c r="J10" s="80" t="n">
        <v>950000</v>
      </c>
      <c r="K10" s="80" t="n">
        <v>950000</v>
      </c>
      <c r="L10" s="90" t="n">
        <f aca="false">IFERROR(K10/J10,"-")</f>
        <v>1</v>
      </c>
      <c r="M10" s="80" t="n">
        <v>75000</v>
      </c>
      <c r="N10" s="91" t="n">
        <f aca="false">IFERROR(M10/K10,"-")</f>
        <v>0.0789473684210526</v>
      </c>
      <c r="O10" s="85" t="n">
        <f aca="false">K10-M10</f>
        <v>875000</v>
      </c>
      <c r="P10" s="85" t="n">
        <f aca="false">IFERROR(K10*VLOOKUP(A10,'Initiative Log'!A:S,19,0),"-")</f>
        <v>475000</v>
      </c>
      <c r="Q10" s="85" t="n">
        <f aca="false">K10</f>
        <v>950000</v>
      </c>
      <c r="R10" s="80" t="n">
        <v>1092500</v>
      </c>
      <c r="S10" s="85" t="n">
        <f aca="false">K10-R10</f>
        <v>-142500</v>
      </c>
      <c r="T10" s="90" t="n">
        <f aca="false">IFERROR(K10/R10-1,"-")</f>
        <v>-0.130434782608696</v>
      </c>
      <c r="U10" s="80" t="n">
        <v>807500</v>
      </c>
      <c r="V10" s="85" t="n">
        <f aca="false">K10-U10</f>
        <v>142500</v>
      </c>
    </row>
    <row r="11" customFormat="false" ht="18" hidden="false" customHeight="true" outlineLevel="0" collapsed="false">
      <c r="A11" s="34" t="s">
        <v>144</v>
      </c>
      <c r="B11" s="34" t="s">
        <v>363</v>
      </c>
      <c r="C11" s="34" t="s">
        <v>107</v>
      </c>
      <c r="D11" s="34" t="s">
        <v>42</v>
      </c>
      <c r="E11" s="34" t="s">
        <v>365</v>
      </c>
      <c r="F11" s="34" t="s">
        <v>145</v>
      </c>
      <c r="G11" s="34" t="s">
        <v>43</v>
      </c>
      <c r="H11" s="34" t="s">
        <v>36</v>
      </c>
      <c r="I11" s="35" t="s">
        <v>63</v>
      </c>
      <c r="J11" s="78" t="n">
        <v>380000</v>
      </c>
      <c r="K11" s="78" t="n">
        <v>380000</v>
      </c>
      <c r="L11" s="88" t="n">
        <f aca="false">IFERROR(K11/J11,"-")</f>
        <v>1</v>
      </c>
      <c r="M11" s="78" t="n">
        <v>120000</v>
      </c>
      <c r="N11" s="89" t="n">
        <f aca="false">IFERROR(M11/K11,"-")</f>
        <v>0.315789473684211</v>
      </c>
      <c r="O11" s="82" t="n">
        <f aca="false">K11-M11</f>
        <v>260000</v>
      </c>
      <c r="P11" s="82" t="n">
        <f aca="false">IFERROR(K11*VLOOKUP(A11,'Initiative Log'!A:S,19,0),"-")</f>
        <v>152000</v>
      </c>
      <c r="Q11" s="82" t="n">
        <f aca="false">K11</f>
        <v>380000</v>
      </c>
      <c r="R11" s="78" t="n">
        <v>436999</v>
      </c>
      <c r="S11" s="82" t="n">
        <f aca="false">K11-R11</f>
        <v>-56999</v>
      </c>
      <c r="T11" s="88" t="n">
        <f aca="false">IFERROR(K11/R11-1,"-")</f>
        <v>-0.130432792752386</v>
      </c>
      <c r="U11" s="78" t="n">
        <v>323000</v>
      </c>
      <c r="V11" s="82" t="n">
        <f aca="false">K11-U11</f>
        <v>57000</v>
      </c>
    </row>
    <row r="12" customFormat="false" ht="18" hidden="false" customHeight="true" outlineLevel="0" collapsed="false">
      <c r="A12" s="37" t="s">
        <v>150</v>
      </c>
      <c r="B12" s="37" t="s">
        <v>368</v>
      </c>
      <c r="C12" s="37" t="s">
        <v>110</v>
      </c>
      <c r="D12" s="37" t="s">
        <v>45</v>
      </c>
      <c r="E12" s="37" t="s">
        <v>367</v>
      </c>
      <c r="F12" s="37" t="s">
        <v>151</v>
      </c>
      <c r="G12" s="37" t="s">
        <v>47</v>
      </c>
      <c r="H12" s="37" t="s">
        <v>36</v>
      </c>
      <c r="I12" s="38" t="s">
        <v>64</v>
      </c>
      <c r="J12" s="80" t="n">
        <v>1400000</v>
      </c>
      <c r="K12" s="80" t="n">
        <v>1400000</v>
      </c>
      <c r="L12" s="90" t="n">
        <f aca="false">IFERROR(K12/J12,"-")</f>
        <v>1</v>
      </c>
      <c r="M12" s="80" t="n">
        <v>2200000</v>
      </c>
      <c r="N12" s="91" t="n">
        <f aca="false">IFERROR(M12/K12,"-")</f>
        <v>1.57142857142857</v>
      </c>
      <c r="O12" s="85" t="n">
        <f aca="false">K12-M12</f>
        <v>-800000</v>
      </c>
      <c r="P12" s="85" t="n">
        <f aca="false">IFERROR(K12*VLOOKUP(A12,'Initiative Log'!A:S,19,0),"-")</f>
        <v>140000</v>
      </c>
      <c r="Q12" s="85" t="n">
        <f aca="false">K12</f>
        <v>1400000</v>
      </c>
      <c r="R12" s="80" t="n">
        <v>1609999</v>
      </c>
      <c r="S12" s="85" t="n">
        <f aca="false">K12-R12</f>
        <v>-209999</v>
      </c>
      <c r="T12" s="90" t="n">
        <f aca="false">IFERROR(K12/R12-1,"-")</f>
        <v>-0.130434242505741</v>
      </c>
      <c r="U12" s="80" t="n">
        <v>1190000</v>
      </c>
      <c r="V12" s="85" t="n">
        <f aca="false">K12-U12</f>
        <v>210000</v>
      </c>
    </row>
    <row r="13" customFormat="false" ht="18" hidden="false" customHeight="true" outlineLevel="0" collapsed="false">
      <c r="A13" s="34" t="s">
        <v>152</v>
      </c>
      <c r="B13" s="34" t="s">
        <v>368</v>
      </c>
      <c r="C13" s="34" t="s">
        <v>137</v>
      </c>
      <c r="D13" s="34" t="s">
        <v>45</v>
      </c>
      <c r="E13" s="34" t="s">
        <v>370</v>
      </c>
      <c r="F13" s="34" t="s">
        <v>153</v>
      </c>
      <c r="G13" s="34" t="s">
        <v>47</v>
      </c>
      <c r="H13" s="34" t="s">
        <v>36</v>
      </c>
      <c r="I13" s="35" t="s">
        <v>63</v>
      </c>
      <c r="J13" s="78" t="n">
        <v>420000</v>
      </c>
      <c r="K13" s="78" t="n">
        <v>420000</v>
      </c>
      <c r="L13" s="88" t="n">
        <f aca="false">IFERROR(K13/J13,"-")</f>
        <v>1</v>
      </c>
      <c r="M13" s="78" t="n">
        <v>30000</v>
      </c>
      <c r="N13" s="89" t="n">
        <f aca="false">IFERROR(M13/K13,"-")</f>
        <v>0.0714285714285714</v>
      </c>
      <c r="O13" s="82" t="n">
        <f aca="false">K13-M13</f>
        <v>390000</v>
      </c>
      <c r="P13" s="82" t="n">
        <f aca="false">IFERROR(K13*VLOOKUP(A13,'Initiative Log'!A:S,19,0),"-")</f>
        <v>210000</v>
      </c>
      <c r="Q13" s="82" t="n">
        <f aca="false">K13</f>
        <v>420000</v>
      </c>
      <c r="R13" s="78" t="n">
        <v>482999</v>
      </c>
      <c r="S13" s="82" t="n">
        <f aca="false">K13-R13</f>
        <v>-62999</v>
      </c>
      <c r="T13" s="88" t="n">
        <f aca="false">IFERROR(K13/R13-1,"-")</f>
        <v>-0.130432982262903</v>
      </c>
      <c r="U13" s="78" t="n">
        <v>357000</v>
      </c>
      <c r="V13" s="82" t="n">
        <f aca="false">K13-U13</f>
        <v>63000</v>
      </c>
    </row>
    <row r="14" customFormat="false" ht="18" hidden="false" customHeight="true" outlineLevel="0" collapsed="false">
      <c r="A14" s="37" t="s">
        <v>154</v>
      </c>
      <c r="B14" s="37" t="s">
        <v>373</v>
      </c>
      <c r="C14" s="37" t="s">
        <v>107</v>
      </c>
      <c r="D14" s="37" t="s">
        <v>45</v>
      </c>
      <c r="E14" s="37" t="s">
        <v>372</v>
      </c>
      <c r="F14" s="37" t="s">
        <v>155</v>
      </c>
      <c r="G14" s="37" t="s">
        <v>50</v>
      </c>
      <c r="H14" s="37" t="s">
        <v>156</v>
      </c>
      <c r="I14" s="35" t="s">
        <v>63</v>
      </c>
      <c r="J14" s="80" t="n">
        <v>2800000</v>
      </c>
      <c r="K14" s="80" t="n">
        <v>2800000</v>
      </c>
      <c r="L14" s="90" t="n">
        <f aca="false">IFERROR(K14/J14,"-")</f>
        <v>1</v>
      </c>
      <c r="M14" s="80" t="n">
        <v>200000</v>
      </c>
      <c r="N14" s="91" t="n">
        <f aca="false">IFERROR(M14/K14,"-")</f>
        <v>0.0714285714285714</v>
      </c>
      <c r="O14" s="85" t="n">
        <f aca="false">K14-M14</f>
        <v>2600000</v>
      </c>
      <c r="P14" s="85" t="n">
        <f aca="false">IFERROR(K14*VLOOKUP(A14,'Initiative Log'!A:S,19,0),"-")</f>
        <v>1120000</v>
      </c>
      <c r="Q14" s="85" t="n">
        <f aca="false">K14</f>
        <v>2800000</v>
      </c>
      <c r="R14" s="80" t="n">
        <v>3219999</v>
      </c>
      <c r="S14" s="85" t="n">
        <f aca="false">K14-R14</f>
        <v>-419999</v>
      </c>
      <c r="T14" s="90" t="n">
        <f aca="false">IFERROR(K14/R14-1,"-")</f>
        <v>-0.130434512557302</v>
      </c>
      <c r="U14" s="80" t="n">
        <v>2380000</v>
      </c>
      <c r="V14" s="85" t="n">
        <f aca="false">K14-U14</f>
        <v>420000</v>
      </c>
    </row>
    <row r="15" customFormat="false" ht="18" hidden="false" customHeight="true" outlineLevel="0" collapsed="false">
      <c r="A15" s="34" t="s">
        <v>169</v>
      </c>
      <c r="B15" s="34" t="s">
        <v>377</v>
      </c>
      <c r="C15" s="34" t="s">
        <v>110</v>
      </c>
      <c r="D15" s="34" t="s">
        <v>51</v>
      </c>
      <c r="E15" s="34" t="s">
        <v>375</v>
      </c>
      <c r="F15" s="34" t="s">
        <v>170</v>
      </c>
      <c r="G15" s="34" t="s">
        <v>33</v>
      </c>
      <c r="H15" s="34" t="s">
        <v>36</v>
      </c>
      <c r="I15" s="35" t="s">
        <v>63</v>
      </c>
      <c r="J15" s="78" t="n">
        <v>760000</v>
      </c>
      <c r="K15" s="78" t="n">
        <v>760000</v>
      </c>
      <c r="L15" s="88" t="n">
        <f aca="false">IFERROR(K15/J15,"-")</f>
        <v>1</v>
      </c>
      <c r="M15" s="78" t="n">
        <v>180000</v>
      </c>
      <c r="N15" s="89" t="n">
        <f aca="false">IFERROR(M15/K15,"-")</f>
        <v>0.236842105263158</v>
      </c>
      <c r="O15" s="82" t="n">
        <f aca="false">K15-M15</f>
        <v>580000</v>
      </c>
      <c r="P15" s="82" t="n">
        <f aca="false">IFERROR(K15*VLOOKUP(A15,'Initiative Log'!A:S,19,0),"-")</f>
        <v>380000</v>
      </c>
      <c r="Q15" s="82" t="n">
        <f aca="false">K15</f>
        <v>760000</v>
      </c>
      <c r="R15" s="78" t="n">
        <v>873999</v>
      </c>
      <c r="S15" s="82" t="n">
        <f aca="false">K15-R15</f>
        <v>-113999</v>
      </c>
      <c r="T15" s="88" t="n">
        <f aca="false">IFERROR(K15/R15-1,"-")</f>
        <v>-0.130433787681679</v>
      </c>
      <c r="U15" s="78" t="n">
        <v>646000</v>
      </c>
      <c r="V15" s="82" t="n">
        <f aca="false">K15-U15</f>
        <v>114000</v>
      </c>
    </row>
    <row r="16" customFormat="false" ht="18" hidden="false" customHeight="true" outlineLevel="0" collapsed="false">
      <c r="A16" s="37" t="s">
        <v>171</v>
      </c>
      <c r="B16" s="37" t="s">
        <v>380</v>
      </c>
      <c r="C16" s="37" t="s">
        <v>137</v>
      </c>
      <c r="D16" s="37" t="s">
        <v>51</v>
      </c>
      <c r="E16" s="37" t="s">
        <v>379</v>
      </c>
      <c r="F16" s="37" t="s">
        <v>172</v>
      </c>
      <c r="G16" s="37" t="s">
        <v>33</v>
      </c>
      <c r="H16" s="37" t="s">
        <v>36</v>
      </c>
      <c r="I16" s="49" t="s">
        <v>65</v>
      </c>
      <c r="J16" s="80" t="n">
        <v>1100000</v>
      </c>
      <c r="K16" s="80" t="n">
        <v>1100000</v>
      </c>
      <c r="L16" s="90" t="n">
        <f aca="false">IFERROR(K16/J16,"-")</f>
        <v>1</v>
      </c>
      <c r="M16" s="80" t="n">
        <v>0</v>
      </c>
      <c r="N16" s="91" t="n">
        <f aca="false">IFERROR(M16/K16,"-")</f>
        <v>0</v>
      </c>
      <c r="O16" s="85" t="n">
        <f aca="false">K16-M16</f>
        <v>1100000</v>
      </c>
      <c r="P16" s="85" t="n">
        <f aca="false">IFERROR(K16*VLOOKUP(A16,'Initiative Log'!A:S,19,0),"-")</f>
        <v>1100000</v>
      </c>
      <c r="Q16" s="85" t="n">
        <f aca="false">K16</f>
        <v>1100000</v>
      </c>
      <c r="R16" s="80" t="n">
        <v>1265000</v>
      </c>
      <c r="S16" s="85" t="n">
        <f aca="false">K16-R16</f>
        <v>-165000</v>
      </c>
      <c r="T16" s="90" t="n">
        <f aca="false">IFERROR(K16/R16-1,"-")</f>
        <v>-0.130434782608696</v>
      </c>
      <c r="U16" s="80" t="n">
        <v>935000</v>
      </c>
      <c r="V16" s="85" t="n">
        <f aca="false">K16-U16</f>
        <v>165000</v>
      </c>
    </row>
    <row r="17" customFormat="false" ht="18" hidden="false" customHeight="true" outlineLevel="0" collapsed="false">
      <c r="A17" s="34" t="s">
        <v>382</v>
      </c>
      <c r="B17" s="34" t="s">
        <v>385</v>
      </c>
      <c r="C17" s="34" t="s">
        <v>110</v>
      </c>
      <c r="D17" s="34" t="s">
        <v>35</v>
      </c>
      <c r="E17" s="34" t="s">
        <v>383</v>
      </c>
      <c r="F17" s="34" t="s">
        <v>384</v>
      </c>
      <c r="G17" s="34" t="s">
        <v>33</v>
      </c>
      <c r="H17" s="34" t="s">
        <v>36</v>
      </c>
      <c r="I17" s="35" t="s">
        <v>63</v>
      </c>
      <c r="J17" s="78" t="n">
        <v>480000</v>
      </c>
      <c r="K17" s="78" t="n">
        <v>480000</v>
      </c>
      <c r="L17" s="88" t="n">
        <f aca="false">IFERROR(K17/J17,"-")</f>
        <v>1</v>
      </c>
      <c r="M17" s="78" t="n">
        <v>25000</v>
      </c>
      <c r="N17" s="89" t="n">
        <f aca="false">IFERROR(M17/K17,"-")</f>
        <v>0.0520833333333333</v>
      </c>
      <c r="O17" s="82" t="n">
        <f aca="false">K17-M17</f>
        <v>455000</v>
      </c>
      <c r="P17" s="82" t="n">
        <f aca="false">IFERROR(K17*VLOOKUP(A17,'Initiative Log'!A:S,19,0),"-")</f>
        <v>240000</v>
      </c>
      <c r="Q17" s="82" t="n">
        <f aca="false">K17</f>
        <v>480000</v>
      </c>
      <c r="R17" s="78" t="n">
        <v>552000</v>
      </c>
      <c r="S17" s="82" t="n">
        <f aca="false">K17-R17</f>
        <v>-72000</v>
      </c>
      <c r="T17" s="88" t="n">
        <f aca="false">IFERROR(K17/R17-1,"-")</f>
        <v>-0.130434782608696</v>
      </c>
      <c r="U17" s="78" t="n">
        <v>408000</v>
      </c>
      <c r="V17" s="82" t="n">
        <f aca="false">K17-U17</f>
        <v>72000</v>
      </c>
    </row>
    <row r="18" customFormat="false" ht="19.5" hidden="false" customHeight="true" outlineLevel="0" collapsed="false">
      <c r="A18" s="16" t="s">
        <v>111</v>
      </c>
      <c r="B18" s="16"/>
      <c r="C18" s="16"/>
      <c r="D18" s="16"/>
      <c r="E18" s="16"/>
      <c r="F18" s="16"/>
      <c r="G18" s="16"/>
      <c r="H18" s="16"/>
      <c r="I18" s="16"/>
      <c r="J18" s="17" t="n">
        <f aca="false">SUM(J3:J17)</f>
        <v>20615000</v>
      </c>
      <c r="K18" s="17" t="n">
        <f aca="false">SUM(K3:K17)</f>
        <v>20615000</v>
      </c>
      <c r="M18" s="17" t="n">
        <f aca="false">SUM(M3:M17)</f>
        <v>6020000</v>
      </c>
      <c r="O18" s="17" t="n">
        <f aca="false">SUM(O3:O17)</f>
        <v>14595000</v>
      </c>
      <c r="P18" s="17" t="n">
        <f aca="false">SUM(P3:P17)</f>
        <v>7993000</v>
      </c>
      <c r="Q18" s="17" t="n">
        <f aca="false">SUM(Q3:Q17)</f>
        <v>20615000</v>
      </c>
      <c r="R18" s="17" t="n">
        <f aca="false">SUM(R3:R17)</f>
        <v>23707243</v>
      </c>
      <c r="S18" s="17" t="n">
        <f aca="false">SUM(S3:S17)</f>
        <v>-3092243</v>
      </c>
      <c r="U18" s="17" t="n">
        <f aca="false">SUM(U3:U17)</f>
        <v>17522750</v>
      </c>
      <c r="V18" s="17" t="n">
        <f aca="false">SUM(V3:V17)</f>
        <v>3092250</v>
      </c>
    </row>
  </sheetData>
  <mergeCells count="2">
    <mergeCell ref="A1:V1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72"/>
  </cols>
  <sheetData>
    <row r="1" customFormat="false" ht="31.5" hidden="false" customHeight="true" outlineLevel="0" collapsed="false">
      <c r="A1" s="31" t="s">
        <v>441</v>
      </c>
      <c r="B1" s="31"/>
      <c r="C1" s="31"/>
      <c r="D1" s="31"/>
      <c r="E1" s="31"/>
      <c r="F1" s="31"/>
      <c r="G1" s="31"/>
      <c r="H1" s="31"/>
    </row>
    <row r="2" customFormat="false" ht="18" hidden="false" customHeight="true" outlineLevel="0" collapsed="false">
      <c r="A2" s="92"/>
      <c r="B2" s="93"/>
      <c r="C2" s="93"/>
      <c r="D2" s="93"/>
      <c r="E2" s="93"/>
      <c r="F2" s="93"/>
    </row>
    <row r="3" customFormat="false" ht="18" hidden="false" customHeight="true" outlineLevel="0" collapsed="false">
      <c r="A3" s="94" t="s">
        <v>442</v>
      </c>
      <c r="B3" s="94"/>
      <c r="C3" s="94"/>
      <c r="D3" s="94"/>
      <c r="E3" s="94"/>
      <c r="F3" s="94"/>
    </row>
    <row r="4" customFormat="false" ht="18" hidden="false" customHeight="true" outlineLevel="0" collapsed="false">
      <c r="A4" s="92" t="s">
        <v>443</v>
      </c>
      <c r="B4" s="93" t="s">
        <v>444</v>
      </c>
      <c r="C4" s="93"/>
      <c r="D4" s="93"/>
      <c r="E4" s="93"/>
      <c r="F4" s="93"/>
    </row>
    <row r="5" customFormat="false" ht="18" hidden="false" customHeight="true" outlineLevel="0" collapsed="false">
      <c r="A5" s="92" t="s">
        <v>445</v>
      </c>
      <c r="B5" s="93" t="s">
        <v>446</v>
      </c>
      <c r="C5" s="93"/>
      <c r="D5" s="93"/>
      <c r="E5" s="93"/>
      <c r="F5" s="93"/>
    </row>
    <row r="6" customFormat="false" ht="18" hidden="false" customHeight="true" outlineLevel="0" collapsed="false">
      <c r="A6" s="92" t="s">
        <v>447</v>
      </c>
      <c r="B6" s="93" t="s">
        <v>448</v>
      </c>
      <c r="C6" s="93"/>
      <c r="D6" s="93"/>
      <c r="E6" s="93"/>
      <c r="F6" s="93"/>
    </row>
    <row r="7" customFormat="false" ht="18" hidden="false" customHeight="true" outlineLevel="0" collapsed="false">
      <c r="A7" s="92"/>
      <c r="B7" s="93"/>
      <c r="C7" s="93"/>
      <c r="D7" s="93"/>
      <c r="E7" s="93"/>
      <c r="F7" s="93"/>
    </row>
    <row r="8" customFormat="false" ht="18" hidden="false" customHeight="true" outlineLevel="0" collapsed="false">
      <c r="A8" s="94" t="s">
        <v>449</v>
      </c>
      <c r="B8" s="94"/>
      <c r="C8" s="94"/>
      <c r="D8" s="94"/>
      <c r="E8" s="94"/>
      <c r="F8" s="94"/>
    </row>
    <row r="9" customFormat="false" ht="18" hidden="false" customHeight="true" outlineLevel="0" collapsed="false">
      <c r="A9" s="92" t="s">
        <v>450</v>
      </c>
      <c r="B9" s="93" t="s">
        <v>451</v>
      </c>
      <c r="C9" s="93"/>
      <c r="D9" s="93"/>
      <c r="E9" s="93"/>
      <c r="F9" s="93"/>
    </row>
    <row r="10" customFormat="false" ht="18" hidden="false" customHeight="true" outlineLevel="0" collapsed="false">
      <c r="A10" s="92" t="s">
        <v>452</v>
      </c>
      <c r="B10" s="93" t="s">
        <v>453</v>
      </c>
      <c r="C10" s="93"/>
      <c r="D10" s="93"/>
      <c r="E10" s="93"/>
      <c r="F10" s="93"/>
    </row>
    <row r="11" customFormat="false" ht="18" hidden="false" customHeight="true" outlineLevel="0" collapsed="false">
      <c r="A11" s="92" t="s">
        <v>454</v>
      </c>
      <c r="B11" s="93" t="s">
        <v>455</v>
      </c>
      <c r="C11" s="93"/>
      <c r="D11" s="93"/>
      <c r="E11" s="93"/>
      <c r="F11" s="93"/>
    </row>
    <row r="12" customFormat="false" ht="18" hidden="false" customHeight="true" outlineLevel="0" collapsed="false">
      <c r="A12" s="92" t="s">
        <v>456</v>
      </c>
      <c r="B12" s="93" t="s">
        <v>457</v>
      </c>
      <c r="C12" s="93"/>
      <c r="D12" s="93"/>
      <c r="E12" s="93"/>
      <c r="F12" s="93"/>
    </row>
    <row r="13" customFormat="false" ht="18" hidden="false" customHeight="true" outlineLevel="0" collapsed="false">
      <c r="A13" s="92" t="s">
        <v>458</v>
      </c>
      <c r="B13" s="93" t="s">
        <v>459</v>
      </c>
      <c r="C13" s="93"/>
      <c r="D13" s="93"/>
      <c r="E13" s="93"/>
      <c r="F13" s="93"/>
    </row>
    <row r="14" customFormat="false" ht="18" hidden="false" customHeight="true" outlineLevel="0" collapsed="false">
      <c r="A14" s="92" t="s">
        <v>460</v>
      </c>
      <c r="B14" s="93" t="s">
        <v>461</v>
      </c>
      <c r="C14" s="93"/>
      <c r="D14" s="93"/>
      <c r="E14" s="93"/>
      <c r="F14" s="93"/>
    </row>
    <row r="15" customFormat="false" ht="18" hidden="false" customHeight="true" outlineLevel="0" collapsed="false">
      <c r="A15" s="92" t="s">
        <v>462</v>
      </c>
      <c r="B15" s="93" t="s">
        <v>463</v>
      </c>
      <c r="C15" s="93"/>
      <c r="D15" s="93"/>
      <c r="E15" s="93"/>
      <c r="F15" s="93"/>
    </row>
    <row r="16" customFormat="false" ht="18" hidden="false" customHeight="true" outlineLevel="0" collapsed="false">
      <c r="A16" s="92" t="s">
        <v>464</v>
      </c>
      <c r="B16" s="93" t="s">
        <v>465</v>
      </c>
      <c r="C16" s="93"/>
      <c r="D16" s="93"/>
      <c r="E16" s="93"/>
      <c r="F16" s="93"/>
    </row>
    <row r="17" customFormat="false" ht="18" hidden="false" customHeight="true" outlineLevel="0" collapsed="false">
      <c r="A17" s="92" t="s">
        <v>466</v>
      </c>
      <c r="B17" s="93" t="s">
        <v>467</v>
      </c>
      <c r="C17" s="93"/>
      <c r="D17" s="93"/>
      <c r="E17" s="93"/>
      <c r="F17" s="93"/>
    </row>
    <row r="18" customFormat="false" ht="18" hidden="false" customHeight="true" outlineLevel="0" collapsed="false">
      <c r="A18" s="92" t="s">
        <v>468</v>
      </c>
      <c r="B18" s="93" t="s">
        <v>469</v>
      </c>
      <c r="C18" s="93"/>
      <c r="D18" s="93"/>
      <c r="E18" s="93"/>
      <c r="F18" s="93"/>
    </row>
    <row r="19" customFormat="false" ht="18" hidden="false" customHeight="true" outlineLevel="0" collapsed="false">
      <c r="A19" s="92" t="s">
        <v>470</v>
      </c>
      <c r="B19" s="93" t="s">
        <v>471</v>
      </c>
      <c r="C19" s="93"/>
      <c r="D19" s="93"/>
      <c r="E19" s="93"/>
      <c r="F19" s="93"/>
    </row>
    <row r="20" customFormat="false" ht="18" hidden="false" customHeight="true" outlineLevel="0" collapsed="false">
      <c r="A20" s="92" t="s">
        <v>472</v>
      </c>
      <c r="B20" s="93" t="s">
        <v>473</v>
      </c>
      <c r="C20" s="93"/>
      <c r="D20" s="93"/>
      <c r="E20" s="93"/>
      <c r="F20" s="93"/>
    </row>
    <row r="21" customFormat="false" ht="18" hidden="false" customHeight="true" outlineLevel="0" collapsed="false">
      <c r="A21" s="92" t="s">
        <v>474</v>
      </c>
      <c r="B21" s="93" t="s">
        <v>475</v>
      </c>
      <c r="C21" s="93"/>
      <c r="D21" s="93"/>
      <c r="E21" s="93"/>
      <c r="F21" s="93"/>
    </row>
    <row r="22" customFormat="false" ht="18" hidden="false" customHeight="true" outlineLevel="0" collapsed="false">
      <c r="A22" s="92"/>
      <c r="B22" s="93"/>
      <c r="C22" s="93"/>
      <c r="D22" s="93"/>
      <c r="E22" s="93"/>
      <c r="F22" s="93"/>
    </row>
    <row r="23" customFormat="false" ht="18" hidden="false" customHeight="true" outlineLevel="0" collapsed="false">
      <c r="A23" s="94" t="s">
        <v>476</v>
      </c>
      <c r="B23" s="94"/>
      <c r="C23" s="94"/>
      <c r="D23" s="94"/>
      <c r="E23" s="94"/>
      <c r="F23" s="94"/>
    </row>
    <row r="24" customFormat="false" ht="18" hidden="false" customHeight="true" outlineLevel="0" collapsed="false">
      <c r="A24" s="92" t="s">
        <v>477</v>
      </c>
      <c r="B24" s="93" t="s">
        <v>478</v>
      </c>
      <c r="C24" s="93"/>
      <c r="D24" s="93"/>
      <c r="E24" s="93"/>
      <c r="F24" s="93"/>
    </row>
    <row r="25" customFormat="false" ht="18" hidden="false" customHeight="true" outlineLevel="0" collapsed="false">
      <c r="A25" s="92" t="s">
        <v>479</v>
      </c>
      <c r="B25" s="93" t="s">
        <v>480</v>
      </c>
      <c r="C25" s="93"/>
      <c r="D25" s="93"/>
      <c r="E25" s="93"/>
      <c r="F25" s="93"/>
    </row>
    <row r="26" customFormat="false" ht="18" hidden="false" customHeight="true" outlineLevel="0" collapsed="false">
      <c r="A26" s="92" t="s">
        <v>481</v>
      </c>
      <c r="B26" s="93" t="s">
        <v>482</v>
      </c>
      <c r="C26" s="93"/>
      <c r="D26" s="93"/>
      <c r="E26" s="93"/>
      <c r="F26" s="93"/>
    </row>
    <row r="27" customFormat="false" ht="18" hidden="false" customHeight="true" outlineLevel="0" collapsed="false">
      <c r="A27" s="92" t="s">
        <v>483</v>
      </c>
      <c r="B27" s="93" t="s">
        <v>484</v>
      </c>
      <c r="C27" s="93"/>
      <c r="D27" s="93"/>
      <c r="E27" s="93"/>
      <c r="F27" s="93"/>
    </row>
    <row r="28" customFormat="false" ht="18" hidden="false" customHeight="true" outlineLevel="0" collapsed="false">
      <c r="A28" s="92"/>
      <c r="B28" s="93"/>
      <c r="C28" s="93"/>
      <c r="D28" s="93"/>
      <c r="E28" s="93"/>
      <c r="F28" s="93"/>
    </row>
    <row r="29" customFormat="false" ht="18" hidden="false" customHeight="true" outlineLevel="0" collapsed="false">
      <c r="A29" s="94" t="s">
        <v>485</v>
      </c>
      <c r="B29" s="94"/>
      <c r="C29" s="94"/>
      <c r="D29" s="94"/>
      <c r="E29" s="94"/>
      <c r="F29" s="94"/>
    </row>
    <row r="30" customFormat="false" ht="18" hidden="false" customHeight="true" outlineLevel="0" collapsed="false">
      <c r="A30" s="92"/>
      <c r="B30" s="93" t="s">
        <v>486</v>
      </c>
      <c r="C30" s="93"/>
      <c r="D30" s="93"/>
      <c r="E30" s="93"/>
      <c r="F30" s="93"/>
    </row>
  </sheetData>
  <mergeCells count="30">
    <mergeCell ref="A1:H1"/>
    <mergeCell ref="B2:F2"/>
    <mergeCell ref="A3:F3"/>
    <mergeCell ref="B4:F4"/>
    <mergeCell ref="B5:F5"/>
    <mergeCell ref="B6:F6"/>
    <mergeCell ref="B7:F7"/>
    <mergeCell ref="A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B22:F22"/>
    <mergeCell ref="A23:F23"/>
    <mergeCell ref="B24:F24"/>
    <mergeCell ref="B25:F25"/>
    <mergeCell ref="B26:F26"/>
    <mergeCell ref="B27:F27"/>
    <mergeCell ref="B28:F28"/>
    <mergeCell ref="A29:F29"/>
    <mergeCell ref="B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2026-04-20T04:05:10Z</dcterms:created>
  <dc:creator>openpyxl</dc:creator>
  <dc:description/>
  <dc:language>en-US</dc:language>
  <cp:lastModifiedBy/>
  <dcterms:modified xsi:type="dcterms:W3CDTF">2026-04-20T04:05:10Z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